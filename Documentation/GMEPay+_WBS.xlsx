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Completion Plan v3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hases &amp; Milestones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'WBS'!$A$1:$L$125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2E75B6"/>
      <sz val="11"/>
    </font>
    <font>
      <name val="Arial"/>
      <color rgb="00000000"/>
      <sz val="9"/>
    </font>
    <font>
      <name val="Arial"/>
      <b val="1"/>
      <color rgb="00BF8F00"/>
      <sz val="9"/>
    </font>
    <font>
      <name val="Arial"/>
      <b val="1"/>
      <color rgb="00808080"/>
      <sz val="9"/>
    </font>
    <font>
      <name val="Arial"/>
      <sz val="9"/>
    </font>
    <font>
      <name val="Arial"/>
      <i val="1"/>
      <sz val="1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D9E2F3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3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165" fontId="3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top"/>
    </xf>
    <xf numFmtId="0" fontId="10" fillId="3" borderId="1" applyAlignment="1" pivotButton="0" quotePrefix="0" xfId="0">
      <alignment vertical="top" wrapText="1"/>
    </xf>
    <xf numFmtId="3" fontId="10" fillId="3" borderId="1" applyAlignment="1" pivotButton="0" quotePrefix="0" xfId="0">
      <alignment vertical="top"/>
    </xf>
    <xf numFmtId="0" fontId="11" fillId="0" borderId="0" pivotButton="0" quotePrefix="0" xfId="0"/>
    <xf numFmtId="0" fontId="12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8" customWidth="1" min="3" max="3"/>
    <col width="32" customWidth="1" min="4" max="4"/>
    <col width="52" customWidth="1" min="5" max="5"/>
    <col width="6" customWidth="1" min="6" max="6"/>
    <col width="13" customWidth="1" min="7" max="7"/>
    <col width="16" customWidth="1" min="8" max="8"/>
    <col width="9" customWidth="1" min="9" max="9"/>
    <col width="14" customWidth="1" min="10" max="10"/>
    <col width="28" customWidth="1" min="11" max="11"/>
    <col width="9" customWidth="1" min="12" max="12"/>
    <col width="8" customWidth="1" min="13" max="13"/>
    <col width="7" customWidth="1" min="14" max="14"/>
    <col width="7" customWidth="1" min="15" max="15"/>
    <col width="10" customWidth="1" min="16" max="16"/>
    <col width="8" customWidth="1" min="17" max="17"/>
    <col width="22" customWidth="1" min="18" max="18"/>
    <col width="16" customWidth="1" min="19" max="19"/>
  </cols>
  <sheetData>
    <row r="1">
      <c r="A1" s="1" t="inlineStr">
        <is>
          <t>WBS Code</t>
        </is>
      </c>
      <c r="B1" s="1" t="inlineStr">
        <is>
          <t>WS #</t>
        </is>
      </c>
      <c r="C1" s="1" t="inlineStr">
        <is>
          <t>Workstream</t>
        </is>
      </c>
      <c r="D1" s="1" t="inlineStr">
        <is>
          <t>Task / Work Package</t>
        </is>
      </c>
      <c r="E1" s="1" t="inlineStr">
        <is>
          <t>Description</t>
        </is>
      </c>
      <c r="F1" s="1" t="inlineStr">
        <is>
          <t>Phase</t>
        </is>
      </c>
      <c r="G1" s="1" t="inlineStr">
        <is>
          <t>Component</t>
        </is>
      </c>
      <c r="H1" s="1" t="inlineStr">
        <is>
          <t>Source Doc(s)</t>
        </is>
      </c>
      <c r="I1" s="1" t="inlineStr">
        <is>
          <t>Effort (PD)</t>
        </is>
      </c>
      <c r="J1" s="1" t="inlineStr">
        <is>
          <t>Dependencies</t>
        </is>
      </c>
      <c r="K1" s="1" t="inlineStr">
        <is>
          <t>Key Deliverable</t>
        </is>
      </c>
      <c r="L1" s="1" t="inlineStr">
        <is>
          <t>Primary Role</t>
        </is>
      </c>
      <c r="M1" s="1" t="inlineStr">
        <is>
          <t>Tickets</t>
        </is>
      </c>
      <c r="N1" s="1" t="inlineStr">
        <is>
          <t>Done</t>
        </is>
      </c>
      <c r="O1" s="1" t="inlineStr">
        <is>
          <t>Partial</t>
        </is>
      </c>
      <c r="P1" s="1" t="inlineStr">
        <is>
          <t>Not Started</t>
        </is>
      </c>
      <c r="Q1" s="1" t="inlineStr">
        <is>
          <t>% Done</t>
        </is>
      </c>
      <c r="R1" s="1" t="inlineStr">
        <is>
          <t>Status (audit 2026-06-10)</t>
        </is>
      </c>
      <c r="S1" s="1" t="inlineStr">
        <is>
          <t>Completion Phase (v3)</t>
        </is>
      </c>
    </row>
    <row r="2">
      <c r="A2" s="2" t="inlineStr">
        <is>
          <t>1.1</t>
        </is>
      </c>
      <c r="B2" s="3" t="n">
        <v>1</v>
      </c>
      <c r="C2" s="4" t="inlineStr">
        <is>
          <t>1. Project Management &amp; Mobilization</t>
        </is>
      </c>
      <c r="D2" s="4" t="inlineStr">
        <is>
          <t>Project kickoff &amp; mobilization</t>
        </is>
      </c>
      <c r="E2" s="4" t="inlineStr">
        <is>
          <t>Team onboarding, access, comms plan, tooling setup.</t>
        </is>
      </c>
      <c r="F2" s="3" t="n">
        <v>1</v>
      </c>
      <c r="G2" s="4" t="inlineStr">
        <is>
          <t>Cross-cutting</t>
        </is>
      </c>
      <c r="H2" s="4" t="inlineStr">
        <is>
          <t>DOC-00, PM-14</t>
        </is>
      </c>
      <c r="I2" s="5" t="n">
        <v>5</v>
      </c>
      <c r="J2" s="4" t="inlineStr">
        <is>
          <t>-</t>
        </is>
      </c>
      <c r="K2" s="4" t="inlineStr">
        <is>
          <t>Kickoff pack, RACI confirmed</t>
        </is>
      </c>
      <c r="L2" s="4" t="inlineStr">
        <is>
          <t>PM</t>
        </is>
      </c>
      <c r="M2" s="35" t="n">
        <v>15</v>
      </c>
      <c r="N2" s="35" t="n">
        <v>0</v>
      </c>
      <c r="O2" s="35" t="n">
        <v>1</v>
      </c>
      <c r="P2" s="35" t="n">
        <v>14</v>
      </c>
      <c r="Q2" s="35" t="inlineStr">
        <is>
          <t>0%</t>
        </is>
      </c>
      <c r="R2" s="36" t="inlineStr">
        <is>
          <t>IN PROGRESS</t>
        </is>
      </c>
      <c r="S2" s="35" t="inlineStr">
        <is>
          <t>R0</t>
        </is>
      </c>
    </row>
    <row r="3">
      <c r="A3" s="2" t="inlineStr">
        <is>
          <t>1.2</t>
        </is>
      </c>
      <c r="B3" s="3" t="n">
        <v>1</v>
      </c>
      <c r="C3" s="4" t="inlineStr">
        <is>
          <t>1. Project Management &amp; Mobilization</t>
        </is>
      </c>
      <c r="D3" s="4" t="inlineStr">
        <is>
          <t>Requirements walkthrough &amp; open-item resolution</t>
        </is>
      </c>
      <c r="E3" s="4" t="inlineStr">
        <is>
          <t>Confirm scope; drive OI-01 (customer approval UX), OI-02 (tax-invoice API), OI-03 (BOK format) to decisions.</t>
        </is>
      </c>
      <c r="F3" s="3" t="n">
        <v>1</v>
      </c>
      <c r="G3" s="4" t="inlineStr">
        <is>
          <t>Cross-cutting</t>
        </is>
      </c>
      <c r="H3" s="4" t="inlineStr">
        <is>
          <t>All</t>
        </is>
      </c>
      <c r="I3" s="5" t="n">
        <v>6</v>
      </c>
      <c r="J3" s="4" t="inlineStr">
        <is>
          <t>1.1</t>
        </is>
      </c>
      <c r="K3" s="4" t="inlineStr">
        <is>
          <t>Clarification log, updated assumptions</t>
        </is>
      </c>
      <c r="L3" s="4" t="inlineStr">
        <is>
          <t>BA</t>
        </is>
      </c>
      <c r="M3" s="35" t="n">
        <v>20</v>
      </c>
      <c r="N3" s="35" t="n">
        <v>0</v>
      </c>
      <c r="O3" s="35" t="n">
        <v>0</v>
      </c>
      <c r="P3" s="35" t="n">
        <v>20</v>
      </c>
      <c r="Q3" s="35" t="inlineStr">
        <is>
          <t>0%</t>
        </is>
      </c>
      <c r="R3" s="37" t="inlineStr">
        <is>
          <t>NOT STARTED</t>
        </is>
      </c>
      <c r="S3" s="35" t="inlineStr">
        <is>
          <t>R0</t>
        </is>
      </c>
    </row>
    <row r="4">
      <c r="A4" s="2" t="inlineStr">
        <is>
          <t>1.3</t>
        </is>
      </c>
      <c r="B4" s="3" t="n">
        <v>1</v>
      </c>
      <c r="C4" s="4" t="inlineStr">
        <is>
          <t>1. Project Management &amp; Mobilization</t>
        </is>
      </c>
      <c r="D4" s="4" t="inlineStr">
        <is>
          <t>Delivery plan, environments &amp; estimates</t>
        </is>
      </c>
      <c r="E4" s="4" t="inlineStr">
        <is>
          <t>Detailed schedule, environment plan, refined estimates per this WBS.</t>
        </is>
      </c>
      <c r="F4" s="3" t="n">
        <v>1</v>
      </c>
      <c r="G4" s="4" t="inlineStr">
        <is>
          <t>Cross-cutting</t>
        </is>
      </c>
      <c r="H4" s="4" t="inlineStr">
        <is>
          <t>PM-14</t>
        </is>
      </c>
      <c r="I4" s="5" t="n">
        <v>5</v>
      </c>
      <c r="J4" s="4" t="inlineStr">
        <is>
          <t>1.1</t>
        </is>
      </c>
      <c r="K4" s="4" t="inlineStr">
        <is>
          <t>Baselined plan</t>
        </is>
      </c>
      <c r="L4" s="4" t="inlineStr">
        <is>
          <t>PM</t>
        </is>
      </c>
      <c r="M4" s="35" t="n">
        <v>33</v>
      </c>
      <c r="N4" s="35" t="n">
        <v>3</v>
      </c>
      <c r="O4" s="35" t="n">
        <v>3</v>
      </c>
      <c r="P4" s="35" t="n">
        <v>27</v>
      </c>
      <c r="Q4" s="35" t="inlineStr">
        <is>
          <t>9%</t>
        </is>
      </c>
      <c r="R4" s="36" t="inlineStr">
        <is>
          <t>IN PROGRESS</t>
        </is>
      </c>
      <c r="S4" s="35" t="inlineStr">
        <is>
          <t>R0</t>
        </is>
      </c>
    </row>
    <row r="5">
      <c r="A5" s="2" t="inlineStr">
        <is>
          <t>1.4</t>
        </is>
      </c>
      <c r="B5" s="3" t="n">
        <v>1</v>
      </c>
      <c r="C5" s="4" t="inlineStr">
        <is>
          <t>1. Project Management &amp; Mobilization</t>
        </is>
      </c>
      <c r="D5" s="4" t="inlineStr">
        <is>
          <t>Architecture &amp; design sign-off</t>
        </is>
      </c>
      <c r="E5" s="4" t="inlineStr">
        <is>
          <t>Review SAD/data model with GME; approve approach.</t>
        </is>
      </c>
      <c r="F5" s="3" t="n">
        <v>1</v>
      </c>
      <c r="G5" s="4" t="inlineStr">
        <is>
          <t>Cross-cutting</t>
        </is>
      </c>
      <c r="H5" s="4" t="inlineStr">
        <is>
          <t>SAD-02</t>
        </is>
      </c>
      <c r="I5" s="5" t="n">
        <v>4</v>
      </c>
      <c r="J5" s="4" t="inlineStr">
        <is>
          <t>2.1,3.1</t>
        </is>
      </c>
      <c r="K5" s="4" t="inlineStr">
        <is>
          <t>Signed-off design</t>
        </is>
      </c>
      <c r="L5" s="4" t="inlineStr">
        <is>
          <t>ARCH</t>
        </is>
      </c>
      <c r="M5" s="35" t="n">
        <v>30</v>
      </c>
      <c r="N5" s="35" t="n">
        <v>0</v>
      </c>
      <c r="O5" s="35" t="n">
        <v>0</v>
      </c>
      <c r="P5" s="35" t="n">
        <v>30</v>
      </c>
      <c r="Q5" s="35" t="inlineStr">
        <is>
          <t>0%</t>
        </is>
      </c>
      <c r="R5" s="37" t="inlineStr">
        <is>
          <t>NOT STARTED</t>
        </is>
      </c>
      <c r="S5" s="35" t="inlineStr">
        <is>
          <t>R0</t>
        </is>
      </c>
    </row>
    <row r="6">
      <c r="A6" s="2" t="inlineStr">
        <is>
          <t>1.5</t>
        </is>
      </c>
      <c r="B6" s="3" t="n">
        <v>1</v>
      </c>
      <c r="C6" s="4" t="inlineStr">
        <is>
          <t>1. Project Management &amp; Mobilization</t>
        </is>
      </c>
      <c r="D6" s="4" t="inlineStr">
        <is>
          <t>Ongoing project management &amp; reporting</t>
        </is>
      </c>
      <c r="E6" s="4" t="inlineStr">
        <is>
          <t>Sprint ceremonies, status reporting, risk/RAID upkeep across all phases.</t>
        </is>
      </c>
      <c r="F6" s="3" t="n">
        <v>1</v>
      </c>
      <c r="G6" s="4" t="inlineStr">
        <is>
          <t>Cross-cutting</t>
        </is>
      </c>
      <c r="H6" s="4" t="inlineStr">
        <is>
          <t>PM-14</t>
        </is>
      </c>
      <c r="I6" s="5" t="n">
        <v>40</v>
      </c>
      <c r="J6" s="4" t="inlineStr">
        <is>
          <t>1.3</t>
        </is>
      </c>
      <c r="K6" s="4" t="inlineStr">
        <is>
          <t>Status reports, RAID log</t>
        </is>
      </c>
      <c r="L6" s="4" t="inlineStr">
        <is>
          <t>PM</t>
        </is>
      </c>
      <c r="M6" s="35" t="n">
        <v>30</v>
      </c>
      <c r="N6" s="35" t="n">
        <v>0</v>
      </c>
      <c r="O6" s="35" t="n">
        <v>0</v>
      </c>
      <c r="P6" s="35" t="n">
        <v>30</v>
      </c>
      <c r="Q6" s="35" t="inlineStr">
        <is>
          <t>0%</t>
        </is>
      </c>
      <c r="R6" s="37" t="inlineStr">
        <is>
          <t>NOT STARTED</t>
        </is>
      </c>
      <c r="S6" s="35" t="inlineStr">
        <is>
          <t>R8</t>
        </is>
      </c>
    </row>
    <row r="7">
      <c r="A7" s="2" t="inlineStr">
        <is>
          <t>1.6</t>
        </is>
      </c>
      <c r="B7" s="3" t="n">
        <v>1</v>
      </c>
      <c r="C7" s="4" t="inlineStr">
        <is>
          <t>1. Project Management &amp; Mobilization</t>
        </is>
      </c>
      <c r="D7" s="4" t="inlineStr">
        <is>
          <t>As-built documentation &amp; handover</t>
        </is>
      </c>
      <c r="E7" s="4" t="inlineStr">
        <is>
          <t>Update specs to as-built, API docs, ops handover materials.</t>
        </is>
      </c>
      <c r="F7" s="3" t="n">
        <v>4</v>
      </c>
      <c r="G7" s="4" t="inlineStr">
        <is>
          <t>Cross-cutting</t>
        </is>
      </c>
      <c r="H7" s="4" t="inlineStr">
        <is>
          <t>DOC-00</t>
        </is>
      </c>
      <c r="I7" s="5" t="n">
        <v>10</v>
      </c>
      <c r="J7" s="4" t="inlineStr">
        <is>
          <t>16.5</t>
        </is>
      </c>
      <c r="K7" s="4" t="inlineStr">
        <is>
          <t>As-built docs</t>
        </is>
      </c>
      <c r="L7" s="4" t="inlineStr">
        <is>
          <t>BA</t>
        </is>
      </c>
      <c r="M7" s="35" t="n">
        <v>22</v>
      </c>
      <c r="N7" s="35" t="n">
        <v>0</v>
      </c>
      <c r="O7" s="35" t="n">
        <v>0</v>
      </c>
      <c r="P7" s="35" t="n">
        <v>22</v>
      </c>
      <c r="Q7" s="35" t="inlineStr">
        <is>
          <t>0%</t>
        </is>
      </c>
      <c r="R7" s="37" t="inlineStr">
        <is>
          <t>NOT STARTED</t>
        </is>
      </c>
      <c r="S7" s="35" t="inlineStr">
        <is>
          <t>R8</t>
        </is>
      </c>
    </row>
    <row r="8">
      <c r="A8" s="6" t="inlineStr">
        <is>
          <t>2.1</t>
        </is>
      </c>
      <c r="B8" s="7" t="n">
        <v>2</v>
      </c>
      <c r="C8" s="8" t="inlineStr">
        <is>
          <t>2. Architecture &amp; Technical Foundation</t>
        </is>
      </c>
      <c r="D8" s="8" t="inlineStr">
        <is>
          <t>Finalize system architecture &amp; tech stack</t>
        </is>
      </c>
      <c r="E8" s="8" t="inlineStr">
        <is>
          <t>Component architecture, service boundaries, tech choices.</t>
        </is>
      </c>
      <c r="F8" s="7" t="n">
        <v>1</v>
      </c>
      <c r="G8" s="8" t="inlineStr">
        <is>
          <t>Cross-cutting</t>
        </is>
      </c>
      <c r="H8" s="8" t="inlineStr">
        <is>
          <t>SAD-02</t>
        </is>
      </c>
      <c r="I8" s="9" t="n">
        <v>6</v>
      </c>
      <c r="J8" s="8" t="inlineStr">
        <is>
          <t>1.1</t>
        </is>
      </c>
      <c r="K8" s="8" t="inlineStr">
        <is>
          <t>Architecture baseline</t>
        </is>
      </c>
      <c r="L8" s="8" t="inlineStr">
        <is>
          <t>ARCH</t>
        </is>
      </c>
      <c r="M8" s="35" t="n">
        <v>33</v>
      </c>
      <c r="N8" s="35" t="n">
        <v>1</v>
      </c>
      <c r="O8" s="35" t="n">
        <v>16</v>
      </c>
      <c r="P8" s="35" t="n">
        <v>16</v>
      </c>
      <c r="Q8" s="35" t="inlineStr">
        <is>
          <t>3%</t>
        </is>
      </c>
      <c r="R8" s="36" t="inlineStr">
        <is>
          <t>IN PROGRESS</t>
        </is>
      </c>
      <c r="S8" s="35" t="inlineStr">
        <is>
          <t>R0</t>
        </is>
      </c>
    </row>
    <row r="9">
      <c r="A9" s="6" t="inlineStr">
        <is>
          <t>2.2</t>
        </is>
      </c>
      <c r="B9" s="7" t="n">
        <v>2</v>
      </c>
      <c r="C9" s="8" t="inlineStr">
        <is>
          <t>2. Architecture &amp; Technical Foundation</t>
        </is>
      </c>
      <c r="D9" s="8" t="inlineStr">
        <is>
          <t>Service/module structure &amp; scaffolding</t>
        </is>
      </c>
      <c r="E9" s="8" t="inlineStr">
        <is>
          <t>Hub Core, scheme adapters, API gateway module skeletons.</t>
        </is>
      </c>
      <c r="F9" s="7" t="n">
        <v>1</v>
      </c>
      <c r="G9" s="8" t="inlineStr">
        <is>
          <t>Hub Core</t>
        </is>
      </c>
      <c r="H9" s="8" t="inlineStr">
        <is>
          <t>SAD-02</t>
        </is>
      </c>
      <c r="I9" s="9" t="n">
        <v>5</v>
      </c>
      <c r="J9" s="8" t="inlineStr">
        <is>
          <t>2.1</t>
        </is>
      </c>
      <c r="K9" s="8" t="inlineStr">
        <is>
          <t>Service skeletons</t>
        </is>
      </c>
      <c r="L9" s="8" t="inlineStr">
        <is>
          <t>ARCH</t>
        </is>
      </c>
      <c r="M9" s="35" t="n">
        <v>28</v>
      </c>
      <c r="N9" s="35" t="n">
        <v>2</v>
      </c>
      <c r="O9" s="35" t="n">
        <v>20</v>
      </c>
      <c r="P9" s="35" t="n">
        <v>6</v>
      </c>
      <c r="Q9" s="35" t="inlineStr">
        <is>
          <t>7%</t>
        </is>
      </c>
      <c r="R9" s="36" t="inlineStr">
        <is>
          <t>IN PROGRESS</t>
        </is>
      </c>
      <c r="S9" s="35" t="inlineStr">
        <is>
          <t>R0</t>
        </is>
      </c>
    </row>
    <row r="10">
      <c r="A10" s="6" t="inlineStr">
        <is>
          <t>2.3</t>
        </is>
      </c>
      <c r="B10" s="7" t="n">
        <v>2</v>
      </c>
      <c r="C10" s="8" t="inlineStr">
        <is>
          <t>2. Architecture &amp; Technical Foundation</t>
        </is>
      </c>
      <c r="D10" s="8" t="inlineStr">
        <is>
          <t>Coding standards, repo, branching, CI scaffold</t>
        </is>
      </c>
      <c r="E10" s="8" t="inlineStr">
        <is>
          <t>Repos, branching model, lint/format, build scaffold.</t>
        </is>
      </c>
      <c r="F10" s="7" t="n">
        <v>1</v>
      </c>
      <c r="G10" s="8" t="inlineStr">
        <is>
          <t>Cross-cutting</t>
        </is>
      </c>
      <c r="H10" s="8" t="inlineStr">
        <is>
          <t>OPS-13</t>
        </is>
      </c>
      <c r="I10" s="9" t="n">
        <v>4</v>
      </c>
      <c r="J10" s="8" t="inlineStr">
        <is>
          <t>2.1</t>
        </is>
      </c>
      <c r="K10" s="8" t="inlineStr">
        <is>
          <t>Standards &amp; repo</t>
        </is>
      </c>
      <c r="L10" s="8" t="inlineStr">
        <is>
          <t>ARCH</t>
        </is>
      </c>
      <c r="M10" s="35" t="n">
        <v>27</v>
      </c>
      <c r="N10" s="35" t="n">
        <v>0</v>
      </c>
      <c r="O10" s="35" t="n">
        <v>0</v>
      </c>
      <c r="P10" s="35" t="n">
        <v>27</v>
      </c>
      <c r="Q10" s="35" t="inlineStr">
        <is>
          <t>0%</t>
        </is>
      </c>
      <c r="R10" s="37" t="inlineStr">
        <is>
          <t>NOT STARTED</t>
        </is>
      </c>
      <c r="S10" s="35" t="inlineStr">
        <is>
          <t>R0</t>
        </is>
      </c>
    </row>
    <row r="11">
      <c r="A11" s="6" t="inlineStr">
        <is>
          <t>2.4</t>
        </is>
      </c>
      <c r="B11" s="7" t="n">
        <v>2</v>
      </c>
      <c r="C11" s="8" t="inlineStr">
        <is>
          <t>2. Architecture &amp; Technical Foundation</t>
        </is>
      </c>
      <c r="D11" s="8" t="inlineStr">
        <is>
          <t>Cross-cutting libs: money, currency, errors</t>
        </is>
      </c>
      <c r="E11" s="8" t="inlineStr">
        <is>
          <t>Decimal/money type, currency scale, canonical error model.</t>
        </is>
      </c>
      <c r="F11" s="7" t="n">
        <v>1</v>
      </c>
      <c r="G11" s="8" t="inlineStr">
        <is>
          <t>Hub Core</t>
        </is>
      </c>
      <c r="H11" s="8" t="inlineStr">
        <is>
          <t>RATE-04, API-05</t>
        </is>
      </c>
      <c r="I11" s="9" t="n">
        <v>6</v>
      </c>
      <c r="J11" s="8" t="inlineStr">
        <is>
          <t>2.3</t>
        </is>
      </c>
      <c r="K11" s="8" t="inlineStr">
        <is>
          <t>Shared libraries</t>
        </is>
      </c>
      <c r="L11" s="8" t="inlineStr">
        <is>
          <t>BE</t>
        </is>
      </c>
      <c r="M11" s="35" t="n">
        <v>25</v>
      </c>
      <c r="N11" s="35" t="n">
        <v>0</v>
      </c>
      <c r="O11" s="35" t="n">
        <v>14</v>
      </c>
      <c r="P11" s="35" t="n">
        <v>11</v>
      </c>
      <c r="Q11" s="35" t="inlineStr">
        <is>
          <t>0%</t>
        </is>
      </c>
      <c r="R11" s="36" t="inlineStr">
        <is>
          <t>IN PROGRESS</t>
        </is>
      </c>
      <c r="S11" s="35" t="inlineStr">
        <is>
          <t>R1</t>
        </is>
      </c>
    </row>
    <row r="12">
      <c r="A12" s="6" t="inlineStr">
        <is>
          <t>2.5</t>
        </is>
      </c>
      <c r="B12" s="7" t="n">
        <v>2</v>
      </c>
      <c r="C12" s="8" t="inlineStr">
        <is>
          <t>2. Architecture &amp; Technical Foundation</t>
        </is>
      </c>
      <c r="D12" s="8" t="inlineStr">
        <is>
          <t>Configuration framework (config-not-code)</t>
        </is>
      </c>
      <c r="E12" s="8" t="inlineStr">
        <is>
          <t>Schemes/partners/rules/rates as runtime config; no deploy to add.</t>
        </is>
      </c>
      <c r="F12" s="7" t="n">
        <v>1</v>
      </c>
      <c r="G12" s="8" t="inlineStr">
        <is>
          <t>Cross-cutting</t>
        </is>
      </c>
      <c r="H12" s="8" t="inlineStr">
        <is>
          <t>NFR-10, SAD-02</t>
        </is>
      </c>
      <c r="I12" s="9" t="n">
        <v>8</v>
      </c>
      <c r="J12" s="8" t="inlineStr">
        <is>
          <t>2.4</t>
        </is>
      </c>
      <c r="K12" s="8" t="inlineStr">
        <is>
          <t>Config framework</t>
        </is>
      </c>
      <c r="L12" s="8" t="inlineStr">
        <is>
          <t>BE</t>
        </is>
      </c>
      <c r="M12" s="35" t="n">
        <v>33</v>
      </c>
      <c r="N12" s="35" t="n">
        <v>0</v>
      </c>
      <c r="O12" s="35" t="n">
        <v>4</v>
      </c>
      <c r="P12" s="35" t="n">
        <v>29</v>
      </c>
      <c r="Q12" s="35" t="inlineStr">
        <is>
          <t>0%</t>
        </is>
      </c>
      <c r="R12" s="36" t="inlineStr">
        <is>
          <t>IN PROGRESS</t>
        </is>
      </c>
      <c r="S12" s="35" t="inlineStr">
        <is>
          <t>R1</t>
        </is>
      </c>
    </row>
    <row r="13">
      <c r="A13" s="6" t="inlineStr">
        <is>
          <t>2.6</t>
        </is>
      </c>
      <c r="B13" s="7" t="n">
        <v>2</v>
      </c>
      <c r="C13" s="8" t="inlineStr">
        <is>
          <t>2. Architecture &amp; Technical Foundation</t>
        </is>
      </c>
      <c r="D13" s="8" t="inlineStr">
        <is>
          <t>Internationalization framework</t>
        </is>
      </c>
      <c r="E13" s="8" t="inlineStr">
        <is>
          <t>Multi-currency (KRW/USD/…), Korean/English support.</t>
        </is>
      </c>
      <c r="F13" s="7" t="n">
        <v>1</v>
      </c>
      <c r="G13" s="8" t="inlineStr">
        <is>
          <t>Cross-cutting</t>
        </is>
      </c>
      <c r="H13" s="8" t="inlineStr">
        <is>
          <t>NFR-10</t>
        </is>
      </c>
      <c r="I13" s="9" t="n">
        <v>4</v>
      </c>
      <c r="J13" s="8" t="inlineStr">
        <is>
          <t>2.4</t>
        </is>
      </c>
      <c r="K13" s="8" t="inlineStr">
        <is>
          <t>i18n framework</t>
        </is>
      </c>
      <c r="L13" s="8" t="inlineStr">
        <is>
          <t>BE</t>
        </is>
      </c>
      <c r="M13" s="35" t="n">
        <v>26</v>
      </c>
      <c r="N13" s="35" t="n">
        <v>0</v>
      </c>
      <c r="O13" s="35" t="n">
        <v>0</v>
      </c>
      <c r="P13" s="35" t="n">
        <v>26</v>
      </c>
      <c r="Q13" s="35" t="inlineStr">
        <is>
          <t>0%</t>
        </is>
      </c>
      <c r="R13" s="37" t="inlineStr">
        <is>
          <t>NOT STARTED</t>
        </is>
      </c>
      <c r="S13" s="35" t="inlineStr">
        <is>
          <t>R4</t>
        </is>
      </c>
    </row>
    <row r="14">
      <c r="A14" s="2" t="inlineStr">
        <is>
          <t>3.1</t>
        </is>
      </c>
      <c r="B14" s="3" t="n">
        <v>3</v>
      </c>
      <c r="C14" s="4" t="inlineStr">
        <is>
          <t>3. Data Layer &amp; Persistence</t>
        </is>
      </c>
      <c r="D14" s="4" t="inlineStr">
        <is>
          <t>Database design &amp; ERD implementation</t>
        </is>
      </c>
      <c r="E14" s="4" t="inlineStr">
        <is>
          <t>Physical schema from DAT-03; constraints &amp; indexes.</t>
        </is>
      </c>
      <c r="F14" s="3" t="n">
        <v>1</v>
      </c>
      <c r="G14" s="4" t="inlineStr">
        <is>
          <t>Hub Core</t>
        </is>
      </c>
      <c r="H14" s="4" t="inlineStr">
        <is>
          <t>DAT-03</t>
        </is>
      </c>
      <c r="I14" s="5" t="n">
        <v>8</v>
      </c>
      <c r="J14" s="4" t="inlineStr">
        <is>
          <t>2.1</t>
        </is>
      </c>
      <c r="K14" s="4" t="inlineStr">
        <is>
          <t>DB schema v1</t>
        </is>
      </c>
      <c r="L14" s="4" t="inlineStr">
        <is>
          <t>DBA</t>
        </is>
      </c>
      <c r="M14" s="35" t="n">
        <v>29</v>
      </c>
      <c r="N14" s="35" t="n">
        <v>0</v>
      </c>
      <c r="O14" s="35" t="n">
        <v>7</v>
      </c>
      <c r="P14" s="35" t="n">
        <v>22</v>
      </c>
      <c r="Q14" s="35" t="inlineStr">
        <is>
          <t>0%</t>
        </is>
      </c>
      <c r="R14" s="36" t="inlineStr">
        <is>
          <t>IN PROGRESS</t>
        </is>
      </c>
      <c r="S14" s="35" t="inlineStr">
        <is>
          <t>R1</t>
        </is>
      </c>
    </row>
    <row r="15">
      <c r="A15" s="2" t="inlineStr">
        <is>
          <t>3.2</t>
        </is>
      </c>
      <c r="B15" s="3" t="n">
        <v>3</v>
      </c>
      <c r="C15" s="4" t="inlineStr">
        <is>
          <t>3. Data Layer &amp; Persistence</t>
        </is>
      </c>
      <c r="D15" s="4" t="inlineStr">
        <is>
          <t>Core entities: Scheme/Partner/Rule/Direction</t>
        </is>
      </c>
      <c r="E15" s="4" t="inlineStr">
        <is>
          <t>Generic entity tables; rule = partner×scheme×direction.</t>
        </is>
      </c>
      <c r="F15" s="3" t="n">
        <v>1</v>
      </c>
      <c r="G15" s="4" t="inlineStr">
        <is>
          <t>Hub Core</t>
        </is>
      </c>
      <c r="H15" s="4" t="inlineStr">
        <is>
          <t>DAT-03</t>
        </is>
      </c>
      <c r="I15" s="5" t="n">
        <v>6</v>
      </c>
      <c r="J15" s="4" t="inlineStr">
        <is>
          <t>3.1</t>
        </is>
      </c>
      <c r="K15" s="4" t="inlineStr">
        <is>
          <t>Entity model; + Partner.settlement_rounding_mode field</t>
        </is>
      </c>
      <c r="L15" s="4" t="inlineStr">
        <is>
          <t>BE</t>
        </is>
      </c>
      <c r="M15" s="35" t="n">
        <v>35</v>
      </c>
      <c r="N15" s="35" t="n">
        <v>2</v>
      </c>
      <c r="O15" s="35" t="n">
        <v>8</v>
      </c>
      <c r="P15" s="35" t="n">
        <v>25</v>
      </c>
      <c r="Q15" s="35" t="inlineStr">
        <is>
          <t>6%</t>
        </is>
      </c>
      <c r="R15" s="36" t="inlineStr">
        <is>
          <t>IN PROGRESS</t>
        </is>
      </c>
      <c r="S15" s="35" t="inlineStr">
        <is>
          <t>R1</t>
        </is>
      </c>
    </row>
    <row r="16">
      <c r="A16" s="2" t="inlineStr">
        <is>
          <t>3.3</t>
        </is>
      </c>
      <c r="B16" s="3" t="n">
        <v>3</v>
      </c>
      <c r="C16" s="4" t="inlineStr">
        <is>
          <t>3. Data Layer &amp; Persistence</t>
        </is>
      </c>
      <c r="D16" s="4" t="inlineStr">
        <is>
          <t>Transaction &amp; event tables (8-step trail)</t>
        </is>
      </c>
      <c r="E16" s="4" t="inlineStr">
        <is>
          <t>Transaction store + immutable event trail.</t>
        </is>
      </c>
      <c r="F16" s="3" t="n">
        <v>1</v>
      </c>
      <c r="G16" s="4" t="inlineStr">
        <is>
          <t>Hub Core</t>
        </is>
      </c>
      <c r="H16" s="4" t="inlineStr">
        <is>
          <t>DAT-03, PRD-07</t>
        </is>
      </c>
      <c r="I16" s="5" t="n">
        <v>6</v>
      </c>
      <c r="J16" s="4" t="inlineStr">
        <is>
          <t>3.1</t>
        </is>
      </c>
      <c r="K16" s="4" t="inlineStr">
        <is>
          <t>Txn schema; + locked booked_settlement_amount &amp; rounding_mode &amp; residual</t>
        </is>
      </c>
      <c r="L16" s="4" t="inlineStr">
        <is>
          <t>BE</t>
        </is>
      </c>
      <c r="M16" s="35" t="n">
        <v>21</v>
      </c>
      <c r="N16" s="35" t="n">
        <v>0</v>
      </c>
      <c r="O16" s="35" t="n">
        <v>4</v>
      </c>
      <c r="P16" s="35" t="n">
        <v>17</v>
      </c>
      <c r="Q16" s="35" t="inlineStr">
        <is>
          <t>0%</t>
        </is>
      </c>
      <c r="R16" s="36" t="inlineStr">
        <is>
          <t>IN PROGRESS</t>
        </is>
      </c>
      <c r="S16" s="35" t="inlineStr">
        <is>
          <t>R1</t>
        </is>
      </c>
    </row>
    <row r="17">
      <c r="A17" s="2" t="inlineStr">
        <is>
          <t>3.4</t>
        </is>
      </c>
      <c r="B17" s="3" t="n">
        <v>3</v>
      </c>
      <c r="C17" s="4" t="inlineStr">
        <is>
          <t>3. Data Layer &amp; Persistence</t>
        </is>
      </c>
      <c r="D17" s="4" t="inlineStr">
        <is>
          <t>Treasury/FX rate tables (effective-dated)</t>
        </is>
      </c>
      <c r="E17" s="4" t="inlineStr">
        <is>
          <t>treasury.usd_{ccy} store with history/effective dating.</t>
        </is>
      </c>
      <c r="F17" s="3" t="n">
        <v>1</v>
      </c>
      <c r="G17" s="4" t="inlineStr">
        <is>
          <t>Hub Core</t>
        </is>
      </c>
      <c r="H17" s="4" t="inlineStr">
        <is>
          <t>RATE-04</t>
        </is>
      </c>
      <c r="I17" s="5" t="n">
        <v>4</v>
      </c>
      <c r="J17" s="4" t="inlineStr">
        <is>
          <t>3.1</t>
        </is>
      </c>
      <c r="K17" s="4" t="inlineStr">
        <is>
          <t>Rate tables</t>
        </is>
      </c>
      <c r="L17" s="4" t="inlineStr">
        <is>
          <t>BE</t>
        </is>
      </c>
      <c r="M17" s="35" t="n">
        <v>24</v>
      </c>
      <c r="N17" s="35" t="n">
        <v>0</v>
      </c>
      <c r="O17" s="35" t="n">
        <v>1</v>
      </c>
      <c r="P17" s="35" t="n">
        <v>23</v>
      </c>
      <c r="Q17" s="35" t="inlineStr">
        <is>
          <t>0%</t>
        </is>
      </c>
      <c r="R17" s="36" t="inlineStr">
        <is>
          <t>IN PROGRESS</t>
        </is>
      </c>
      <c r="S17" s="35" t="inlineStr">
        <is>
          <t>R1</t>
        </is>
      </c>
    </row>
    <row r="18">
      <c r="A18" s="2" t="inlineStr">
        <is>
          <t>3.5</t>
        </is>
      </c>
      <c r="B18" s="3" t="n">
        <v>3</v>
      </c>
      <c r="C18" s="4" t="inlineStr">
        <is>
          <t>3. Data Layer &amp; Persistence</t>
        </is>
      </c>
      <c r="D18" s="4" t="inlineStr">
        <is>
          <t>Prefunding ledger tables (double-entry)</t>
        </is>
      </c>
      <c r="E18" s="4" t="inlineStr">
        <is>
          <t>Balance + ledger entries for prefunding.</t>
        </is>
      </c>
      <c r="F18" s="3" t="n">
        <v>1</v>
      </c>
      <c r="G18" s="4" t="inlineStr">
        <is>
          <t>Hub Core</t>
        </is>
      </c>
      <c r="H18" s="4" t="inlineStr">
        <is>
          <t>DAT-03</t>
        </is>
      </c>
      <c r="I18" s="5" t="n">
        <v>5</v>
      </c>
      <c r="J18" s="4" t="inlineStr">
        <is>
          <t>3.1</t>
        </is>
      </c>
      <c r="K18" s="4" t="inlineStr">
        <is>
          <t>Ledger schema</t>
        </is>
      </c>
      <c r="L18" s="4" t="inlineStr">
        <is>
          <t>BE</t>
        </is>
      </c>
      <c r="M18" s="35" t="n">
        <v>24</v>
      </c>
      <c r="N18" s="35" t="n">
        <v>0</v>
      </c>
      <c r="O18" s="35" t="n">
        <v>9</v>
      </c>
      <c r="P18" s="35" t="n">
        <v>15</v>
      </c>
      <c r="Q18" s="35" t="inlineStr">
        <is>
          <t>0%</t>
        </is>
      </c>
      <c r="R18" s="36" t="inlineStr">
        <is>
          <t>IN PROGRESS</t>
        </is>
      </c>
      <c r="S18" s="35" t="inlineStr">
        <is>
          <t>R1</t>
        </is>
      </c>
    </row>
    <row r="19">
      <c r="A19" s="2" t="inlineStr">
        <is>
          <t>3.6</t>
        </is>
      </c>
      <c r="B19" s="3" t="n">
        <v>3</v>
      </c>
      <c r="C19" s="4" t="inlineStr">
        <is>
          <t>3. Data Layer &amp; Persistence</t>
        </is>
      </c>
      <c r="D19" s="4" t="inlineStr">
        <is>
          <t>Audit log tables (immutable)</t>
        </is>
      </c>
      <c r="E19" s="4" t="inlineStr">
        <is>
          <t>actor/timestamp/previous-value config audit store.</t>
        </is>
      </c>
      <c r="F19" s="3" t="n">
        <v>1</v>
      </c>
      <c r="G19" s="4" t="inlineStr">
        <is>
          <t>Cross-cutting</t>
        </is>
      </c>
      <c r="H19" s="4" t="inlineStr">
        <is>
          <t>SEC-09</t>
        </is>
      </c>
      <c r="I19" s="5" t="n">
        <v>4</v>
      </c>
      <c r="J19" s="4" t="inlineStr">
        <is>
          <t>3.1</t>
        </is>
      </c>
      <c r="K19" s="4" t="inlineStr">
        <is>
          <t>Audit schema</t>
        </is>
      </c>
      <c r="L19" s="4" t="inlineStr">
        <is>
          <t>BE</t>
        </is>
      </c>
      <c r="M19" s="35" t="n">
        <v>24</v>
      </c>
      <c r="N19" s="35" t="n">
        <v>0</v>
      </c>
      <c r="O19" s="35" t="n">
        <v>0</v>
      </c>
      <c r="P19" s="35" t="n">
        <v>24</v>
      </c>
      <c r="Q19" s="35" t="inlineStr">
        <is>
          <t>0%</t>
        </is>
      </c>
      <c r="R19" s="37" t="inlineStr">
        <is>
          <t>NOT STARTED</t>
        </is>
      </c>
      <c r="S19" s="35" t="inlineStr">
        <is>
          <t>R1</t>
        </is>
      </c>
    </row>
    <row r="20">
      <c r="A20" s="2" t="inlineStr">
        <is>
          <t>3.7</t>
        </is>
      </c>
      <c r="B20" s="3" t="n">
        <v>3</v>
      </c>
      <c r="C20" s="4" t="inlineStr">
        <is>
          <t>3. Data Layer &amp; Persistence</t>
        </is>
      </c>
      <c r="D20" s="4" t="inlineStr">
        <is>
          <t>Migration framework &amp; seed data</t>
        </is>
      </c>
      <c r="E20" s="4" t="inlineStr">
        <is>
          <t>Versioned reversible migrations; reference/seed data.</t>
        </is>
      </c>
      <c r="F20" s="3" t="n">
        <v>1</v>
      </c>
      <c r="G20" s="4" t="inlineStr">
        <is>
          <t>Hub Core</t>
        </is>
      </c>
      <c r="H20" s="4" t="inlineStr">
        <is>
          <t>OPS-13</t>
        </is>
      </c>
      <c r="I20" s="5" t="n">
        <v>5</v>
      </c>
      <c r="J20" s="4" t="inlineStr">
        <is>
          <t>3.1</t>
        </is>
      </c>
      <c r="K20" s="4" t="inlineStr">
        <is>
          <t>Migration tooling</t>
        </is>
      </c>
      <c r="L20" s="4" t="inlineStr">
        <is>
          <t>DBA</t>
        </is>
      </c>
      <c r="M20" s="35" t="n">
        <v>28</v>
      </c>
      <c r="N20" s="35" t="n">
        <v>1</v>
      </c>
      <c r="O20" s="35" t="n">
        <v>7</v>
      </c>
      <c r="P20" s="35" t="n">
        <v>20</v>
      </c>
      <c r="Q20" s="35" t="inlineStr">
        <is>
          <t>4%</t>
        </is>
      </c>
      <c r="R20" s="36" t="inlineStr">
        <is>
          <t>IN PROGRESS</t>
        </is>
      </c>
      <c r="S20" s="35" t="inlineStr">
        <is>
          <t>R1</t>
        </is>
      </c>
    </row>
    <row r="21">
      <c r="A21" s="6" t="inlineStr">
        <is>
          <t>4.1</t>
        </is>
      </c>
      <c r="B21" s="7" t="n">
        <v>4</v>
      </c>
      <c r="C21" s="8" t="inlineStr">
        <is>
          <t>4. Rate Engine &amp; FX</t>
        </is>
      </c>
      <c r="D21" s="8" t="inlineStr">
        <is>
          <t>Treasury rate sourcing model</t>
        </is>
      </c>
      <c r="E21" s="8" t="inlineStr">
        <is>
          <t>IDENTITY/LIVE/MANUAL/PARTNER resolution per leg.</t>
        </is>
      </c>
      <c r="F21" s="7" t="n">
        <v>1</v>
      </c>
      <c r="G21" s="8" t="inlineStr">
        <is>
          <t>Hub Core</t>
        </is>
      </c>
      <c r="H21" s="8" t="inlineStr">
        <is>
          <t>RATE-04</t>
        </is>
      </c>
      <c r="I21" s="9" t="n">
        <v>6</v>
      </c>
      <c r="J21" s="8" t="inlineStr">
        <is>
          <t>3.4</t>
        </is>
      </c>
      <c r="K21" s="8" t="inlineStr">
        <is>
          <t>Rate sourcing svc</t>
        </is>
      </c>
      <c r="L21" s="8" t="inlineStr">
        <is>
          <t>BE</t>
        </is>
      </c>
      <c r="M21" s="35" t="n">
        <v>18</v>
      </c>
      <c r="N21" s="35" t="n">
        <v>0</v>
      </c>
      <c r="O21" s="35" t="n">
        <v>2</v>
      </c>
      <c r="P21" s="35" t="n">
        <v>16</v>
      </c>
      <c r="Q21" s="35" t="inlineStr">
        <is>
          <t>0%</t>
        </is>
      </c>
      <c r="R21" s="36" t="inlineStr">
        <is>
          <t>IN PROGRESS</t>
        </is>
      </c>
      <c r="S21" s="35" t="inlineStr">
        <is>
          <t>R1</t>
        </is>
      </c>
    </row>
    <row r="22">
      <c r="A22" s="6" t="inlineStr">
        <is>
          <t>4.2</t>
        </is>
      </c>
      <c r="B22" s="7" t="n">
        <v>4</v>
      </c>
      <c r="C22" s="8" t="inlineStr">
        <is>
          <t>4. Rate Engine &amp; FX</t>
        </is>
      </c>
      <c r="D22" s="8" t="inlineStr">
        <is>
          <t>5-step RECEIVE-mode calculation engine</t>
        </is>
      </c>
      <c r="E22" s="8" t="inlineStr">
        <is>
          <t>payout_usd_cost→collection_usd→margins→send_amount→collection_amount.</t>
        </is>
      </c>
      <c r="F22" s="7" t="n">
        <v>1</v>
      </c>
      <c r="G22" s="8" t="inlineStr">
        <is>
          <t>Hub Core</t>
        </is>
      </c>
      <c r="H22" s="8" t="inlineStr">
        <is>
          <t>RATE-04</t>
        </is>
      </c>
      <c r="I22" s="9" t="n">
        <v>12</v>
      </c>
      <c r="J22" s="8" t="inlineStr">
        <is>
          <t>2.4,4.1</t>
        </is>
      </c>
      <c r="K22" s="8" t="inlineStr">
        <is>
          <t>Rate engine core</t>
        </is>
      </c>
      <c r="L22" s="8" t="inlineStr">
        <is>
          <t>BE</t>
        </is>
      </c>
      <c r="M22" s="35" t="n">
        <v>16</v>
      </c>
      <c r="N22" s="35" t="n">
        <v>0</v>
      </c>
      <c r="O22" s="35" t="n">
        <v>13</v>
      </c>
      <c r="P22" s="35" t="n">
        <v>3</v>
      </c>
      <c r="Q22" s="35" t="inlineStr">
        <is>
          <t>0%</t>
        </is>
      </c>
      <c r="R22" s="36" t="inlineStr">
        <is>
          <t>IN PROGRESS</t>
        </is>
      </c>
      <c r="S22" s="35" t="inlineStr">
        <is>
          <t>R2</t>
        </is>
      </c>
    </row>
    <row r="23">
      <c r="A23" s="6" t="inlineStr">
        <is>
          <t>4.3</t>
        </is>
      </c>
      <c r="B23" s="7" t="n">
        <v>4</v>
      </c>
      <c r="C23" s="8" t="inlineStr">
        <is>
          <t>4. Rate Engine &amp; FX</t>
        </is>
      </c>
      <c r="D23" s="8" t="inlineStr">
        <is>
          <t>USD pool identity assertion</t>
        </is>
      </c>
      <c r="E23" s="8" t="inlineStr">
        <is>
          <t>Invariant check within 0.01 USD tolerance.</t>
        </is>
      </c>
      <c r="F23" s="7" t="n">
        <v>1</v>
      </c>
      <c r="G23" s="8" t="inlineStr">
        <is>
          <t>Hub Core</t>
        </is>
      </c>
      <c r="H23" s="8" t="inlineStr">
        <is>
          <t>RATE-04</t>
        </is>
      </c>
      <c r="I23" s="9" t="n">
        <v>5</v>
      </c>
      <c r="J23" s="8" t="inlineStr">
        <is>
          <t>4.2</t>
        </is>
      </c>
      <c r="K23" s="8" t="inlineStr">
        <is>
          <t>Identity guard</t>
        </is>
      </c>
      <c r="L23" s="8" t="inlineStr">
        <is>
          <t>BE</t>
        </is>
      </c>
      <c r="M23" s="35" t="n">
        <v>9</v>
      </c>
      <c r="N23" s="35" t="n">
        <v>0</v>
      </c>
      <c r="O23" s="35" t="n">
        <v>1</v>
      </c>
      <c r="P23" s="35" t="n">
        <v>8</v>
      </c>
      <c r="Q23" s="35" t="inlineStr">
        <is>
          <t>0%</t>
        </is>
      </c>
      <c r="R23" s="36" t="inlineStr">
        <is>
          <t>IN PROGRESS</t>
        </is>
      </c>
      <c r="S23" s="35" t="inlineStr">
        <is>
          <t>R2</t>
        </is>
      </c>
    </row>
    <row r="24">
      <c r="A24" s="6" t="inlineStr">
        <is>
          <t>4.4</t>
        </is>
      </c>
      <c r="B24" s="7" t="n">
        <v>4</v>
      </c>
      <c r="C24" s="8" t="inlineStr">
        <is>
          <t>4. Rate Engine &amp; FX</t>
        </is>
      </c>
      <c r="D24" s="8" t="inlineStr">
        <is>
          <t>Derived BOK outputs</t>
        </is>
      </c>
      <c r="E24" s="8" t="inlineStr">
        <is>
          <t>offer_rate_coll (FX1015 #14), cross_rate.</t>
        </is>
      </c>
      <c r="F24" s="7" t="n">
        <v>1</v>
      </c>
      <c r="G24" s="8" t="inlineStr">
        <is>
          <t>Hub Core</t>
        </is>
      </c>
      <c r="H24" s="8" t="inlineStr">
        <is>
          <t>RATE-04, SEC-09</t>
        </is>
      </c>
      <c r="I24" s="9" t="n">
        <v>4</v>
      </c>
      <c r="J24" s="8" t="inlineStr">
        <is>
          <t>4.2</t>
        </is>
      </c>
      <c r="K24" s="8" t="inlineStr">
        <is>
          <t>Derived outputs</t>
        </is>
      </c>
      <c r="L24" s="8" t="inlineStr">
        <is>
          <t>BE</t>
        </is>
      </c>
      <c r="M24" s="35" t="n">
        <v>10</v>
      </c>
      <c r="N24" s="35" t="n">
        <v>0</v>
      </c>
      <c r="O24" s="35" t="n">
        <v>3</v>
      </c>
      <c r="P24" s="35" t="n">
        <v>7</v>
      </c>
      <c r="Q24" s="35" t="inlineStr">
        <is>
          <t>0%</t>
        </is>
      </c>
      <c r="R24" s="36" t="inlineStr">
        <is>
          <t>IN PROGRESS</t>
        </is>
      </c>
      <c r="S24" s="35" t="inlineStr">
        <is>
          <t>R2</t>
        </is>
      </c>
    </row>
    <row r="25">
      <c r="A25" s="6" t="inlineStr">
        <is>
          <t>4.5</t>
        </is>
      </c>
      <c r="B25" s="7" t="n">
        <v>4</v>
      </c>
      <c r="C25" s="8" t="inlineStr">
        <is>
          <t>4. Rate Engine &amp; FX</t>
        </is>
      </c>
      <c r="D25" s="8" t="inlineStr">
        <is>
          <t>Identity legs &amp; same-currency short-circuit</t>
        </is>
      </c>
      <c r="E25" s="8" t="inlineStr">
        <is>
          <t>USD legs (rate=1.0); skip pool when all ccy equal.</t>
        </is>
      </c>
      <c r="F25" s="7" t="n">
        <v>1</v>
      </c>
      <c r="G25" s="8" t="inlineStr">
        <is>
          <t>Hub Core</t>
        </is>
      </c>
      <c r="H25" s="8" t="inlineStr">
        <is>
          <t>RATE-04</t>
        </is>
      </c>
      <c r="I25" s="9" t="n">
        <v>6</v>
      </c>
      <c r="J25" s="8" t="inlineStr">
        <is>
          <t>4.2</t>
        </is>
      </c>
      <c r="K25" s="8" t="inlineStr">
        <is>
          <t>Special-case logic</t>
        </is>
      </c>
      <c r="L25" s="8" t="inlineStr">
        <is>
          <t>BE</t>
        </is>
      </c>
      <c r="M25" s="35" t="n">
        <v>11</v>
      </c>
      <c r="N25" s="35" t="n">
        <v>0</v>
      </c>
      <c r="O25" s="35" t="n">
        <v>3</v>
      </c>
      <c r="P25" s="35" t="n">
        <v>8</v>
      </c>
      <c r="Q25" s="35" t="inlineStr">
        <is>
          <t>0%</t>
        </is>
      </c>
      <c r="R25" s="36" t="inlineStr">
        <is>
          <t>IN PROGRESS</t>
        </is>
      </c>
      <c r="S25" s="35" t="inlineStr">
        <is>
          <t>R2</t>
        </is>
      </c>
    </row>
    <row r="26">
      <c r="A26" s="6" t="inlineStr">
        <is>
          <t>4.6</t>
        </is>
      </c>
      <c r="B26" s="7" t="n">
        <v>4</v>
      </c>
      <c r="C26" s="8" t="inlineStr">
        <is>
          <t>4. Rate Engine &amp; FX</t>
        </is>
      </c>
      <c r="D26" s="8" t="inlineStr">
        <is>
          <t>Partner B authoritative quote &amp; deviation</t>
        </is>
      </c>
      <c r="E26" s="8" t="inlineStr">
        <is>
          <t>Quote fetch, tolerance check, DEVIATION/UNAVAILABLE errors.</t>
        </is>
      </c>
      <c r="F26" s="7" t="n">
        <v>1</v>
      </c>
      <c r="G26" s="8" t="inlineStr">
        <is>
          <t>Hub Core</t>
        </is>
      </c>
      <c r="H26" s="8" t="inlineStr">
        <is>
          <t>RATE-04, API-05</t>
        </is>
      </c>
      <c r="I26" s="9" t="n">
        <v>6</v>
      </c>
      <c r="J26" s="8" t="inlineStr">
        <is>
          <t>4.2</t>
        </is>
      </c>
      <c r="K26" s="8" t="inlineStr">
        <is>
          <t>Partner-B handler</t>
        </is>
      </c>
      <c r="L26" s="8" t="inlineStr">
        <is>
          <t>BE</t>
        </is>
      </c>
      <c r="M26" s="35" t="n">
        <v>15</v>
      </c>
      <c r="N26" s="35" t="n">
        <v>0</v>
      </c>
      <c r="O26" s="35" t="n">
        <v>0</v>
      </c>
      <c r="P26" s="35" t="n">
        <v>15</v>
      </c>
      <c r="Q26" s="35" t="inlineStr">
        <is>
          <t>0%</t>
        </is>
      </c>
      <c r="R26" s="37" t="inlineStr">
        <is>
          <t>NOT STARTED</t>
        </is>
      </c>
      <c r="S26" s="35" t="inlineStr">
        <is>
          <t>R1</t>
        </is>
      </c>
    </row>
    <row r="27">
      <c r="A27" s="6" t="inlineStr">
        <is>
          <t>4.7</t>
        </is>
      </c>
      <c r="B27" s="7" t="n">
        <v>4</v>
      </c>
      <c r="C27" s="8" t="inlineStr">
        <is>
          <t>4. Rate Engine &amp; FX</t>
        </is>
      </c>
      <c r="D27" s="8" t="inlineStr">
        <is>
          <t>Rate quote lifecycle, TTL &amp; rate-lock</t>
        </is>
      </c>
      <c r="E27" s="8" t="inlineStr">
        <is>
          <t>Quote issuance, validUntil, lock on commit.</t>
        </is>
      </c>
      <c r="F27" s="7" t="n">
        <v>1</v>
      </c>
      <c r="G27" s="8" t="inlineStr">
        <is>
          <t>Hub Core</t>
        </is>
      </c>
      <c r="H27" s="8" t="inlineStr">
        <is>
          <t>RATE-04</t>
        </is>
      </c>
      <c r="I27" s="9" t="n">
        <v>6</v>
      </c>
      <c r="J27" s="8" t="inlineStr">
        <is>
          <t>4.2</t>
        </is>
      </c>
      <c r="K27" s="8" t="inlineStr">
        <is>
          <t>Quote/lock svc</t>
        </is>
      </c>
      <c r="L27" s="8" t="inlineStr">
        <is>
          <t>BE</t>
        </is>
      </c>
      <c r="M27" s="35" t="n">
        <v>15</v>
      </c>
      <c r="N27" s="35" t="n">
        <v>0</v>
      </c>
      <c r="O27" s="35" t="n">
        <v>0</v>
      </c>
      <c r="P27" s="35" t="n">
        <v>15</v>
      </c>
      <c r="Q27" s="35" t="inlineStr">
        <is>
          <t>0%</t>
        </is>
      </c>
      <c r="R27" s="37" t="inlineStr">
        <is>
          <t>NOT STARTED</t>
        </is>
      </c>
      <c r="S27" s="35" t="inlineStr">
        <is>
          <t>R1</t>
        </is>
      </c>
    </row>
    <row r="28">
      <c r="A28" s="6" t="inlineStr">
        <is>
          <t>4.8</t>
        </is>
      </c>
      <c r="B28" s="7" t="n">
        <v>4</v>
      </c>
      <c r="C28" s="8" t="inlineStr">
        <is>
          <t>4. Rate Engine &amp; FX</t>
        </is>
      </c>
      <c r="D28" s="8" t="inlineStr">
        <is>
          <t>Rounding &amp; precision rules</t>
        </is>
      </c>
      <c r="E28" s="8" t="inlineStr">
        <is>
          <t>Per-currency scale &amp; rounding at defined points.</t>
        </is>
      </c>
      <c r="F28" s="7" t="n">
        <v>1</v>
      </c>
      <c r="G28" s="8" t="inlineStr">
        <is>
          <t>Hub Core</t>
        </is>
      </c>
      <c r="H28" s="8" t="inlineStr">
        <is>
          <t>RATE-04</t>
        </is>
      </c>
      <c r="I28" s="9" t="n">
        <v>4</v>
      </c>
      <c r="J28" s="8" t="inlineStr">
        <is>
          <t>4.2</t>
        </is>
      </c>
      <c r="K28" s="8" t="inlineStr">
        <is>
          <t>Rounding module</t>
        </is>
      </c>
      <c r="L28" s="8" t="inlineStr">
        <is>
          <t>BE</t>
        </is>
      </c>
      <c r="M28" s="35" t="n">
        <v>11</v>
      </c>
      <c r="N28" s="35" t="n">
        <v>0</v>
      </c>
      <c r="O28" s="35" t="n">
        <v>4</v>
      </c>
      <c r="P28" s="35" t="n">
        <v>7</v>
      </c>
      <c r="Q28" s="35" t="inlineStr">
        <is>
          <t>0%</t>
        </is>
      </c>
      <c r="R28" s="36" t="inlineStr">
        <is>
          <t>IN PROGRESS</t>
        </is>
      </c>
      <c r="S28" s="35" t="inlineStr">
        <is>
          <t>R2</t>
        </is>
      </c>
    </row>
    <row r="29">
      <c r="A29" s="6" t="inlineStr">
        <is>
          <t>4.9</t>
        </is>
      </c>
      <c r="B29" s="7" t="n">
        <v>4</v>
      </c>
      <c r="C29" s="8" t="inlineStr">
        <is>
          <t>4. Rate Engine &amp; FX</t>
        </is>
      </c>
      <c r="D29" s="8" t="inlineStr">
        <is>
          <t>Rate engine unit tests vs vectors</t>
        </is>
      </c>
      <c r="E29" s="8" t="inlineStr">
        <is>
          <t>Implement RV-01..RV-10 from QA-12 §4.</t>
        </is>
      </c>
      <c r="F29" s="7" t="n">
        <v>1</v>
      </c>
      <c r="G29" s="8" t="inlineStr">
        <is>
          <t>Hub Core</t>
        </is>
      </c>
      <c r="H29" s="8" t="inlineStr">
        <is>
          <t>QA-12</t>
        </is>
      </c>
      <c r="I29" s="9" t="n">
        <v>8</v>
      </c>
      <c r="J29" s="8" t="inlineStr">
        <is>
          <t>4.2,4.3,4.5</t>
        </is>
      </c>
      <c r="K29" s="8" t="inlineStr">
        <is>
          <t>Vector test suite</t>
        </is>
      </c>
      <c r="L29" s="8" t="inlineStr">
        <is>
          <t>QA</t>
        </is>
      </c>
      <c r="M29" s="35" t="n">
        <v>12</v>
      </c>
      <c r="N29" s="35" t="n">
        <v>0</v>
      </c>
      <c r="O29" s="35" t="n">
        <v>3</v>
      </c>
      <c r="P29" s="35" t="n">
        <v>9</v>
      </c>
      <c r="Q29" s="35" t="inlineStr">
        <is>
          <t>0%</t>
        </is>
      </c>
      <c r="R29" s="36" t="inlineStr">
        <is>
          <t>IN PROGRESS</t>
        </is>
      </c>
      <c r="S29" s="35" t="inlineStr">
        <is>
          <t>R2</t>
        </is>
      </c>
    </row>
    <row r="30">
      <c r="A30" s="2" t="inlineStr">
        <is>
          <t>5.1</t>
        </is>
      </c>
      <c r="B30" s="3" t="n">
        <v>5</v>
      </c>
      <c r="C30" s="4" t="inlineStr">
        <is>
          <t>5. Transaction Processing (MPM/CPM)</t>
        </is>
      </c>
      <c r="D30" s="4" t="inlineStr">
        <is>
          <t>Transaction state machine</t>
        </is>
      </c>
      <c r="E30" s="4" t="inlineStr">
        <is>
          <t>Lifecycle/status model for MPM &amp; CPM.</t>
        </is>
      </c>
      <c r="F30" s="3" t="n">
        <v>1</v>
      </c>
      <c r="G30" s="4" t="inlineStr">
        <is>
          <t>Hub Core</t>
        </is>
      </c>
      <c r="H30" s="4" t="inlineStr">
        <is>
          <t>RATE-04, API-05</t>
        </is>
      </c>
      <c r="I30" s="5" t="n">
        <v>8</v>
      </c>
      <c r="J30" s="4" t="inlineStr">
        <is>
          <t>3.3</t>
        </is>
      </c>
      <c r="K30" s="4" t="inlineStr">
        <is>
          <t>State machine</t>
        </is>
      </c>
      <c r="L30" s="4" t="inlineStr">
        <is>
          <t>BE</t>
        </is>
      </c>
      <c r="M30" s="35" t="n">
        <v>32</v>
      </c>
      <c r="N30" s="35" t="n">
        <v>1</v>
      </c>
      <c r="O30" s="35" t="n">
        <v>6</v>
      </c>
      <c r="P30" s="35" t="n">
        <v>25</v>
      </c>
      <c r="Q30" s="35" t="inlineStr">
        <is>
          <t>3%</t>
        </is>
      </c>
      <c r="R30" s="36" t="inlineStr">
        <is>
          <t>IN PROGRESS</t>
        </is>
      </c>
      <c r="S30" s="35" t="inlineStr">
        <is>
          <t>R2</t>
        </is>
      </c>
    </row>
    <row r="31">
      <c r="A31" s="2" t="inlineStr">
        <is>
          <t>5.2</t>
        </is>
      </c>
      <c r="B31" s="3" t="n">
        <v>5</v>
      </c>
      <c r="C31" s="4" t="inlineStr">
        <is>
          <t>5. Transaction Processing (MPM/CPM)</t>
        </is>
      </c>
      <c r="D31" s="4" t="inlineStr">
        <is>
          <t>Fixed MPM execution flow</t>
        </is>
      </c>
      <c r="E31" s="4" t="inlineStr">
        <is>
          <t>POST /payments; prefund deduction point (MPM).</t>
        </is>
      </c>
      <c r="F31" s="3" t="n">
        <v>1</v>
      </c>
      <c r="G31" s="4" t="inlineStr">
        <is>
          <t>Hub Core</t>
        </is>
      </c>
      <c r="H31" s="4" t="inlineStr">
        <is>
          <t>API-05, RATE-04</t>
        </is>
      </c>
      <c r="I31" s="5" t="n">
        <v>8</v>
      </c>
      <c r="J31" s="4" t="inlineStr">
        <is>
          <t>5.1,4.7,6.2</t>
        </is>
      </c>
      <c r="K31" s="4" t="inlineStr">
        <is>
          <t>MPM flow</t>
        </is>
      </c>
      <c r="L31" s="4" t="inlineStr">
        <is>
          <t>BE</t>
        </is>
      </c>
      <c r="M31" s="35" t="n">
        <v>28</v>
      </c>
      <c r="N31" s="35" t="n">
        <v>0</v>
      </c>
      <c r="O31" s="35" t="n">
        <v>6</v>
      </c>
      <c r="P31" s="35" t="n">
        <v>22</v>
      </c>
      <c r="Q31" s="35" t="inlineStr">
        <is>
          <t>0%</t>
        </is>
      </c>
      <c r="R31" s="36" t="inlineStr">
        <is>
          <t>IN PROGRESS</t>
        </is>
      </c>
      <c r="S31" s="35" t="inlineStr">
        <is>
          <t>R2</t>
        </is>
      </c>
    </row>
    <row r="32">
      <c r="A32" s="2" t="inlineStr">
        <is>
          <t>5.3</t>
        </is>
      </c>
      <c r="B32" s="3" t="n">
        <v>5</v>
      </c>
      <c r="C32" s="4" t="inlineStr">
        <is>
          <t>5. Transaction Processing (MPM/CPM)</t>
        </is>
      </c>
      <c r="D32" s="4" t="inlineStr">
        <is>
          <t>CPM token generation &amp; flow</t>
        </is>
      </c>
      <c r="E32" s="4" t="inlineStr">
        <is>
          <t>cpm/generate; prefund deduction point (CPM).</t>
        </is>
      </c>
      <c r="F32" s="3" t="n">
        <v>1</v>
      </c>
      <c r="G32" s="4" t="inlineStr">
        <is>
          <t>Hub Core</t>
        </is>
      </c>
      <c r="H32" s="4" t="inlineStr">
        <is>
          <t>API-05</t>
        </is>
      </c>
      <c r="I32" s="5" t="n">
        <v>8</v>
      </c>
      <c r="J32" s="4" t="inlineStr">
        <is>
          <t>5.1,6.2</t>
        </is>
      </c>
      <c r="K32" s="4" t="inlineStr">
        <is>
          <t>CPM flow</t>
        </is>
      </c>
      <c r="L32" s="4" t="inlineStr">
        <is>
          <t>BE</t>
        </is>
      </c>
      <c r="M32" s="35" t="n">
        <v>25</v>
      </c>
      <c r="N32" s="35" t="n">
        <v>0</v>
      </c>
      <c r="O32" s="35" t="n">
        <v>4</v>
      </c>
      <c r="P32" s="35" t="n">
        <v>21</v>
      </c>
      <c r="Q32" s="35" t="inlineStr">
        <is>
          <t>0%</t>
        </is>
      </c>
      <c r="R32" s="36" t="inlineStr">
        <is>
          <t>IN PROGRESS</t>
        </is>
      </c>
      <c r="S32" s="35" t="inlineStr">
        <is>
          <t>R2</t>
        </is>
      </c>
    </row>
    <row r="33">
      <c r="A33" s="2" t="inlineStr">
        <is>
          <t>5.4</t>
        </is>
      </c>
      <c r="B33" s="3" t="n">
        <v>5</v>
      </c>
      <c r="C33" s="4" t="inlineStr">
        <is>
          <t>5. Transaction Processing (MPM/CPM)</t>
        </is>
      </c>
      <c r="D33" s="4" t="inlineStr">
        <is>
          <t>QR parsing (EMVCo) &amp; merchant resolution</t>
        </is>
      </c>
      <c r="E33" s="4" t="inlineStr">
        <is>
          <t>Parse MPM/CPM payloads; resolve merchant/QR.</t>
        </is>
      </c>
      <c r="F33" s="3" t="n">
        <v>1</v>
      </c>
      <c r="G33" s="4" t="inlineStr">
        <is>
          <t>Hub Core</t>
        </is>
      </c>
      <c r="H33" s="4" t="inlineStr">
        <is>
          <t>SCH-06</t>
        </is>
      </c>
      <c r="I33" s="5" t="n">
        <v>6</v>
      </c>
      <c r="J33" s="4" t="inlineStr">
        <is>
          <t>5.1</t>
        </is>
      </c>
      <c r="K33" s="4" t="inlineStr">
        <is>
          <t>QR parser</t>
        </is>
      </c>
      <c r="L33" s="4" t="inlineStr">
        <is>
          <t>BE</t>
        </is>
      </c>
      <c r="M33" s="35" t="n">
        <v>22</v>
      </c>
      <c r="N33" s="35" t="n">
        <v>8</v>
      </c>
      <c r="O33" s="35" t="n">
        <v>3</v>
      </c>
      <c r="P33" s="35" t="n">
        <v>11</v>
      </c>
      <c r="Q33" s="35" t="inlineStr">
        <is>
          <t>36%</t>
        </is>
      </c>
      <c r="R33" s="36" t="inlineStr">
        <is>
          <t>IN PROGRESS</t>
        </is>
      </c>
      <c r="S33" s="35" t="inlineStr">
        <is>
          <t>R2</t>
        </is>
      </c>
    </row>
    <row r="34">
      <c r="A34" s="2" t="inlineStr">
        <is>
          <t>5.5</t>
        </is>
      </c>
      <c r="B34" s="3" t="n">
        <v>5</v>
      </c>
      <c r="C34" s="4" t="inlineStr">
        <is>
          <t>5. Transaction Processing (MPM/CPM)</t>
        </is>
      </c>
      <c r="D34" s="4" t="inlineStr">
        <is>
          <t>CommitTransaction &amp; payment.approved</t>
        </is>
      </c>
      <c r="E34" s="4" t="inlineStr">
        <is>
          <t>Finalize txn; assemble approved payload.</t>
        </is>
      </c>
      <c r="F34" s="3" t="n">
        <v>1</v>
      </c>
      <c r="G34" s="4" t="inlineStr">
        <is>
          <t>Hub Core</t>
        </is>
      </c>
      <c r="H34" s="4" t="inlineStr">
        <is>
          <t>API-05, RATE-04</t>
        </is>
      </c>
      <c r="I34" s="5" t="n">
        <v>5</v>
      </c>
      <c r="J34" s="4" t="inlineStr">
        <is>
          <t>5.2,5.3</t>
        </is>
      </c>
      <c r="K34" s="4" t="inlineStr">
        <is>
          <t>Commit logic; + book settlement under partner rule, lock on txn, post residual</t>
        </is>
      </c>
      <c r="L34" s="4" t="inlineStr">
        <is>
          <t>BE</t>
        </is>
      </c>
      <c r="M34" s="35" t="n">
        <v>36</v>
      </c>
      <c r="N34" s="35" t="n">
        <v>0</v>
      </c>
      <c r="O34" s="35" t="n">
        <v>4</v>
      </c>
      <c r="P34" s="35" t="n">
        <v>32</v>
      </c>
      <c r="Q34" s="35" t="inlineStr">
        <is>
          <t>0%</t>
        </is>
      </c>
      <c r="R34" s="36" t="inlineStr">
        <is>
          <t>IN PROGRESS</t>
        </is>
      </c>
      <c r="S34" s="35" t="inlineStr">
        <is>
          <t>R2</t>
        </is>
      </c>
    </row>
    <row r="35">
      <c r="A35" s="2" t="inlineStr">
        <is>
          <t>5.6</t>
        </is>
      </c>
      <c r="B35" s="3" t="n">
        <v>5</v>
      </c>
      <c r="C35" s="4" t="inlineStr">
        <is>
          <t>5. Transaction Processing (MPM/CPM)</t>
        </is>
      </c>
      <c r="D35" s="4" t="inlineStr">
        <is>
          <t>Same-day cancellation</t>
        </is>
      </c>
      <c r="E35" s="4" t="inlineStr">
        <is>
          <t>Cancel flow (refunds are admin-only in P1).</t>
        </is>
      </c>
      <c r="F35" s="3" t="n">
        <v>1</v>
      </c>
      <c r="G35" s="4" t="inlineStr">
        <is>
          <t>Hub Core</t>
        </is>
      </c>
      <c r="H35" s="4" t="inlineStr">
        <is>
          <t>API-05</t>
        </is>
      </c>
      <c r="I35" s="5" t="n">
        <v>4</v>
      </c>
      <c r="J35" s="4" t="inlineStr">
        <is>
          <t>5.5</t>
        </is>
      </c>
      <c r="K35" s="4" t="inlineStr">
        <is>
          <t>Cancel flow</t>
        </is>
      </c>
      <c r="L35" s="4" t="inlineStr">
        <is>
          <t>BE</t>
        </is>
      </c>
      <c r="M35" s="35" t="n">
        <v>26</v>
      </c>
      <c r="N35" s="35" t="n">
        <v>0</v>
      </c>
      <c r="O35" s="35" t="n">
        <v>3</v>
      </c>
      <c r="P35" s="35" t="n">
        <v>23</v>
      </c>
      <c r="Q35" s="35" t="inlineStr">
        <is>
          <t>0%</t>
        </is>
      </c>
      <c r="R35" s="36" t="inlineStr">
        <is>
          <t>IN PROGRESS</t>
        </is>
      </c>
      <c r="S35" s="35" t="inlineStr">
        <is>
          <t>R2</t>
        </is>
      </c>
    </row>
    <row r="36">
      <c r="A36" s="2" t="inlineStr">
        <is>
          <t>5.7</t>
        </is>
      </c>
      <c r="B36" s="3" t="n">
        <v>5</v>
      </c>
      <c r="C36" s="4" t="inlineStr">
        <is>
          <t>5. Transaction Processing (MPM/CPM)</t>
        </is>
      </c>
      <c r="D36" s="4" t="inlineStr">
        <is>
          <t>Idempotency &amp; request dedup</t>
        </is>
      </c>
      <c r="E36" s="4" t="inlineStr">
        <is>
          <t>Idempotency keys, safe retries.</t>
        </is>
      </c>
      <c r="F36" s="3" t="n">
        <v>1</v>
      </c>
      <c r="G36" s="4" t="inlineStr">
        <is>
          <t>Hub Core</t>
        </is>
      </c>
      <c r="H36" s="4" t="inlineStr">
        <is>
          <t>API-05</t>
        </is>
      </c>
      <c r="I36" s="5" t="n">
        <v>5</v>
      </c>
      <c r="J36" s="4" t="inlineStr">
        <is>
          <t>5.1</t>
        </is>
      </c>
      <c r="K36" s="4" t="inlineStr">
        <is>
          <t>Idempotency svc</t>
        </is>
      </c>
      <c r="L36" s="4" t="inlineStr">
        <is>
          <t>BE</t>
        </is>
      </c>
      <c r="M36" s="35" t="n">
        <v>20</v>
      </c>
      <c r="N36" s="35" t="n">
        <v>0</v>
      </c>
      <c r="O36" s="35" t="n">
        <v>0</v>
      </c>
      <c r="P36" s="35" t="n">
        <v>20</v>
      </c>
      <c r="Q36" s="35" t="inlineStr">
        <is>
          <t>0%</t>
        </is>
      </c>
      <c r="R36" s="37" t="inlineStr">
        <is>
          <t>NOT STARTED</t>
        </is>
      </c>
      <c r="S36" s="35" t="inlineStr">
        <is>
          <t>R2</t>
        </is>
      </c>
    </row>
    <row r="37">
      <c r="A37" s="2" t="inlineStr">
        <is>
          <t>5.8</t>
        </is>
      </c>
      <c r="B37" s="3" t="n">
        <v>5</v>
      </c>
      <c r="C37" s="4" t="inlineStr">
        <is>
          <t>5. Transaction Processing (MPM/CPM)</t>
        </is>
      </c>
      <c r="D37" s="4" t="inlineStr">
        <is>
          <t>Direction routing &amp; extensibility</t>
        </is>
      </c>
      <c r="E37" s="4" t="inlineStr">
        <is>
          <t>Inbound/Domestic live; Outbound/Hub scaffolding.</t>
        </is>
      </c>
      <c r="F37" s="3" t="n">
        <v>1</v>
      </c>
      <c r="G37" s="4" t="inlineStr">
        <is>
          <t>Hub Core</t>
        </is>
      </c>
      <c r="H37" s="4" t="inlineStr">
        <is>
          <t>BRD-01, SAD-02</t>
        </is>
      </c>
      <c r="I37" s="5" t="n">
        <v>6</v>
      </c>
      <c r="J37" s="4" t="inlineStr">
        <is>
          <t>5.1</t>
        </is>
      </c>
      <c r="K37" s="4" t="inlineStr">
        <is>
          <t>Routing logic</t>
        </is>
      </c>
      <c r="L37" s="4" t="inlineStr">
        <is>
          <t>BE</t>
        </is>
      </c>
      <c r="M37" s="35" t="n">
        <v>25</v>
      </c>
      <c r="N37" s="35" t="n">
        <v>0</v>
      </c>
      <c r="O37" s="35" t="n">
        <v>1</v>
      </c>
      <c r="P37" s="35" t="n">
        <v>24</v>
      </c>
      <c r="Q37" s="35" t="inlineStr">
        <is>
          <t>0%</t>
        </is>
      </c>
      <c r="R37" s="36" t="inlineStr">
        <is>
          <t>IN PROGRESS</t>
        </is>
      </c>
      <c r="S37" s="35" t="inlineStr">
        <is>
          <t>R2</t>
        </is>
      </c>
    </row>
    <row r="38">
      <c r="A38" s="6" t="inlineStr">
        <is>
          <t>6.1</t>
        </is>
      </c>
      <c r="B38" s="7" t="n">
        <v>6</v>
      </c>
      <c r="C38" s="8" t="inlineStr">
        <is>
          <t>6. Prefunding &amp; Wallet Ledger</t>
        </is>
      </c>
      <c r="D38" s="8" t="inlineStr">
        <is>
          <t>Prefunding balance &amp; top-up recording</t>
        </is>
      </c>
      <c r="E38" s="8" t="inlineStr">
        <is>
          <t>Balance model; record top-ups (Ops-entered).</t>
        </is>
      </c>
      <c r="F38" s="7" t="n">
        <v>1</v>
      </c>
      <c r="G38" s="8" t="inlineStr">
        <is>
          <t>Hub Core</t>
        </is>
      </c>
      <c r="H38" s="8" t="inlineStr">
        <is>
          <t>DAT-03, PRD-07</t>
        </is>
      </c>
      <c r="I38" s="9" t="n">
        <v>5</v>
      </c>
      <c r="J38" s="8" t="inlineStr">
        <is>
          <t>3.5</t>
        </is>
      </c>
      <c r="K38" s="8" t="inlineStr">
        <is>
          <t>Balance svc</t>
        </is>
      </c>
      <c r="L38" s="8" t="inlineStr">
        <is>
          <t>BE</t>
        </is>
      </c>
      <c r="M38" s="35" t="n">
        <v>31</v>
      </c>
      <c r="N38" s="35" t="n">
        <v>0</v>
      </c>
      <c r="O38" s="35" t="n">
        <v>8</v>
      </c>
      <c r="P38" s="35" t="n">
        <v>23</v>
      </c>
      <c r="Q38" s="35" t="inlineStr">
        <is>
          <t>0%</t>
        </is>
      </c>
      <c r="R38" s="36" t="inlineStr">
        <is>
          <t>IN PROGRESS</t>
        </is>
      </c>
      <c r="S38" s="35" t="inlineStr">
        <is>
          <t>R1</t>
        </is>
      </c>
    </row>
    <row r="39">
      <c r="A39" s="6" t="inlineStr">
        <is>
          <t>6.2</t>
        </is>
      </c>
      <c r="B39" s="7" t="n">
        <v>6</v>
      </c>
      <c r="C39" s="8" t="inlineStr">
        <is>
          <t>6. Prefunding &amp; Wallet Ledger</t>
        </is>
      </c>
      <c r="D39" s="8" t="inlineStr">
        <is>
          <t>Atomic deduction (SELECT FOR UPDATE)</t>
        </is>
      </c>
      <c r="E39" s="8" t="inlineStr">
        <is>
          <t>Concurrency-safe deduction before scheme call.</t>
        </is>
      </c>
      <c r="F39" s="7" t="n">
        <v>1</v>
      </c>
      <c r="G39" s="8" t="inlineStr">
        <is>
          <t>Hub Core</t>
        </is>
      </c>
      <c r="H39" s="8" t="inlineStr">
        <is>
          <t>RATE-04, NFR-10</t>
        </is>
      </c>
      <c r="I39" s="9" t="n">
        <v>6</v>
      </c>
      <c r="J39" s="8" t="inlineStr">
        <is>
          <t>6.1</t>
        </is>
      </c>
      <c r="K39" s="8" t="inlineStr">
        <is>
          <t>Deduction svc</t>
        </is>
      </c>
      <c r="L39" s="8" t="inlineStr">
        <is>
          <t>BE</t>
        </is>
      </c>
      <c r="M39" s="35" t="n">
        <v>28</v>
      </c>
      <c r="N39" s="35" t="n">
        <v>0</v>
      </c>
      <c r="O39" s="35" t="n">
        <v>8</v>
      </c>
      <c r="P39" s="35" t="n">
        <v>20</v>
      </c>
      <c r="Q39" s="35" t="inlineStr">
        <is>
          <t>0%</t>
        </is>
      </c>
      <c r="R39" s="36" t="inlineStr">
        <is>
          <t>IN PROGRESS</t>
        </is>
      </c>
      <c r="S39" s="35" t="inlineStr">
        <is>
          <t>R1</t>
        </is>
      </c>
    </row>
    <row r="40">
      <c r="A40" s="6" t="inlineStr">
        <is>
          <t>6.3</t>
        </is>
      </c>
      <c r="B40" s="7" t="n">
        <v>6</v>
      </c>
      <c r="C40" s="8" t="inlineStr">
        <is>
          <t>6. Prefunding &amp; Wallet Ledger</t>
        </is>
      </c>
      <c r="D40" s="8" t="inlineStr">
        <is>
          <t>Insufficient-balance rejection</t>
        </is>
      </c>
      <c r="E40" s="8" t="inlineStr">
        <is>
          <t>Reject pre-scheme when balance &lt; amount.</t>
        </is>
      </c>
      <c r="F40" s="7" t="n">
        <v>1</v>
      </c>
      <c r="G40" s="8" t="inlineStr">
        <is>
          <t>Hub Core</t>
        </is>
      </c>
      <c r="H40" s="8" t="inlineStr">
        <is>
          <t>API-05</t>
        </is>
      </c>
      <c r="I40" s="9" t="n">
        <v>3</v>
      </c>
      <c r="J40" s="8" t="inlineStr">
        <is>
          <t>6.2</t>
        </is>
      </c>
      <c r="K40" s="8" t="inlineStr">
        <is>
          <t>Guard logic</t>
        </is>
      </c>
      <c r="L40" s="8" t="inlineStr">
        <is>
          <t>BE</t>
        </is>
      </c>
      <c r="M40" s="35" t="n">
        <v>22</v>
      </c>
      <c r="N40" s="35" t="n">
        <v>0</v>
      </c>
      <c r="O40" s="35" t="n">
        <v>9</v>
      </c>
      <c r="P40" s="35" t="n">
        <v>13</v>
      </c>
      <c r="Q40" s="35" t="inlineStr">
        <is>
          <t>0%</t>
        </is>
      </c>
      <c r="R40" s="36" t="inlineStr">
        <is>
          <t>IN PROGRESS</t>
        </is>
      </c>
      <c r="S40" s="35" t="inlineStr">
        <is>
          <t>R1</t>
        </is>
      </c>
    </row>
    <row r="41">
      <c r="A41" s="6" t="inlineStr">
        <is>
          <t>6.4</t>
        </is>
      </c>
      <c r="B41" s="7" t="n">
        <v>6</v>
      </c>
      <c r="C41" s="8" t="inlineStr">
        <is>
          <t>6. Prefunding &amp; Wallet Ledger</t>
        </is>
      </c>
      <c r="D41" s="8" t="inlineStr">
        <is>
          <t>Low-balance alerting</t>
        </is>
      </c>
      <c r="E41" s="8" t="inlineStr">
        <is>
          <t>Per-partner threshold alerts.</t>
        </is>
      </c>
      <c r="F41" s="7" t="n">
        <v>1</v>
      </c>
      <c r="G41" s="8" t="inlineStr">
        <is>
          <t>Hub Core</t>
        </is>
      </c>
      <c r="H41" s="8" t="inlineStr">
        <is>
          <t>PRD-07</t>
        </is>
      </c>
      <c r="I41" s="9" t="n">
        <v>3</v>
      </c>
      <c r="J41" s="8" t="inlineStr">
        <is>
          <t>6.1</t>
        </is>
      </c>
      <c r="K41" s="8" t="inlineStr">
        <is>
          <t>Alert rule</t>
        </is>
      </c>
      <c r="L41" s="8" t="inlineStr">
        <is>
          <t>BE</t>
        </is>
      </c>
      <c r="M41" s="35" t="n">
        <v>25</v>
      </c>
      <c r="N41" s="35" t="n">
        <v>0</v>
      </c>
      <c r="O41" s="35" t="n">
        <v>0</v>
      </c>
      <c r="P41" s="35" t="n">
        <v>25</v>
      </c>
      <c r="Q41" s="35" t="inlineStr">
        <is>
          <t>0%</t>
        </is>
      </c>
      <c r="R41" s="37" t="inlineStr">
        <is>
          <t>NOT STARTED</t>
        </is>
      </c>
      <c r="S41" s="35" t="inlineStr">
        <is>
          <t>R1</t>
        </is>
      </c>
    </row>
    <row r="42">
      <c r="A42" s="6" t="inlineStr">
        <is>
          <t>6.5</t>
        </is>
      </c>
      <c r="B42" s="7" t="n">
        <v>6</v>
      </c>
      <c r="C42" s="8" t="inlineStr">
        <is>
          <t>6. Prefunding &amp; Wallet Ledger</t>
        </is>
      </c>
      <c r="D42" s="8" t="inlineStr">
        <is>
          <t>Ledger reconciliation &amp; statements</t>
        </is>
      </c>
      <c r="E42" s="8" t="inlineStr">
        <is>
          <t>Reconcile ledger; generate statements.</t>
        </is>
      </c>
      <c r="F42" s="7" t="n">
        <v>2</v>
      </c>
      <c r="G42" s="8" t="inlineStr">
        <is>
          <t>Hub Core</t>
        </is>
      </c>
      <c r="H42" s="8" t="inlineStr">
        <is>
          <t>RATE-04</t>
        </is>
      </c>
      <c r="I42" s="9" t="n">
        <v>5</v>
      </c>
      <c r="J42" s="8" t="inlineStr">
        <is>
          <t>6.1</t>
        </is>
      </c>
      <c r="K42" s="8" t="inlineStr">
        <is>
          <t>Recon report</t>
        </is>
      </c>
      <c r="L42" s="8" t="inlineStr">
        <is>
          <t>BE</t>
        </is>
      </c>
      <c r="M42" s="35" t="n">
        <v>30</v>
      </c>
      <c r="N42" s="35" t="n">
        <v>0</v>
      </c>
      <c r="O42" s="35" t="n">
        <v>0</v>
      </c>
      <c r="P42" s="35" t="n">
        <v>30</v>
      </c>
      <c r="Q42" s="35" t="inlineStr">
        <is>
          <t>0%</t>
        </is>
      </c>
      <c r="R42" s="37" t="inlineStr">
        <is>
          <t>NOT STARTED</t>
        </is>
      </c>
      <c r="S42" s="35" t="inlineStr">
        <is>
          <t>R2</t>
        </is>
      </c>
    </row>
    <row r="43">
      <c r="A43" s="2" t="inlineStr">
        <is>
          <t>7.1</t>
        </is>
      </c>
      <c r="B43" s="3" t="n">
        <v>7</v>
      </c>
      <c r="C43" s="4" t="inlineStr">
        <is>
          <t>7. Settlement, Reconciliation &amp; Revenue</t>
        </is>
      </c>
      <c r="D43" s="4" t="inlineStr">
        <is>
          <t>Settlement model: net vs gross</t>
        </is>
      </c>
      <c r="E43" s="4" t="inlineStr">
        <is>
          <t>Domestic net; international gross.</t>
        </is>
      </c>
      <c r="F43" s="3" t="n">
        <v>2</v>
      </c>
      <c r="G43" s="4" t="inlineStr">
        <is>
          <t>Hub Core</t>
        </is>
      </c>
      <c r="H43" s="4" t="inlineStr">
        <is>
          <t>RATE-04, SCH-06</t>
        </is>
      </c>
      <c r="I43" s="5" t="n">
        <v>6</v>
      </c>
      <c r="J43" s="4" t="inlineStr">
        <is>
          <t>5.5</t>
        </is>
      </c>
      <c r="K43" s="4" t="inlineStr">
        <is>
          <t>Settlement svc</t>
        </is>
      </c>
      <c r="L43" s="4" t="inlineStr">
        <is>
          <t>BE</t>
        </is>
      </c>
      <c r="M43" s="35" t="n">
        <v>35</v>
      </c>
      <c r="N43" s="35" t="n">
        <v>3</v>
      </c>
      <c r="O43" s="35" t="n">
        <v>5</v>
      </c>
      <c r="P43" s="35" t="n">
        <v>27</v>
      </c>
      <c r="Q43" s="35" t="inlineStr">
        <is>
          <t>9%</t>
        </is>
      </c>
      <c r="R43" s="36" t="inlineStr">
        <is>
          <t>IN PROGRESS</t>
        </is>
      </c>
      <c r="S43" s="35" t="inlineStr">
        <is>
          <t>R2</t>
        </is>
      </c>
    </row>
    <row r="44">
      <c r="A44" s="2" t="inlineStr">
        <is>
          <t>7.2</t>
        </is>
      </c>
      <c r="B44" s="3" t="n">
        <v>7</v>
      </c>
      <c r="C44" s="4" t="inlineStr">
        <is>
          <t>7. Settlement, Reconciliation &amp; Revenue</t>
        </is>
      </c>
      <c r="D44" s="4" t="inlineStr">
        <is>
          <t>Scheme fee share (70/30) computation</t>
        </is>
      </c>
      <c r="E44" s="4" t="inlineStr">
        <is>
          <t>Compute GME 70% of net merchant fee.</t>
        </is>
      </c>
      <c r="F44" s="3" t="n">
        <v>2</v>
      </c>
      <c r="G44" s="4" t="inlineStr">
        <is>
          <t>Hub Core</t>
        </is>
      </c>
      <c r="H44" s="4" t="inlineStr">
        <is>
          <t>RATE-04, BRD-01</t>
        </is>
      </c>
      <c r="I44" s="5" t="n">
        <v>5</v>
      </c>
      <c r="J44" s="4" t="inlineStr">
        <is>
          <t>7.1</t>
        </is>
      </c>
      <c r="K44" s="4" t="inlineStr">
        <is>
          <t>Fee-share calc</t>
        </is>
      </c>
      <c r="L44" s="4" t="inlineStr">
        <is>
          <t>BE</t>
        </is>
      </c>
      <c r="M44" s="35" t="n">
        <v>19</v>
      </c>
      <c r="N44" s="35" t="n">
        <v>2</v>
      </c>
      <c r="O44" s="35" t="n">
        <v>1</v>
      </c>
      <c r="P44" s="35" t="n">
        <v>16</v>
      </c>
      <c r="Q44" s="35" t="inlineStr">
        <is>
          <t>11%</t>
        </is>
      </c>
      <c r="R44" s="36" t="inlineStr">
        <is>
          <t>IN PROGRESS</t>
        </is>
      </c>
      <c r="S44" s="35" t="inlineStr">
        <is>
          <t>R2</t>
        </is>
      </c>
    </row>
    <row r="45">
      <c r="A45" s="2" t="inlineStr">
        <is>
          <t>7.3</t>
        </is>
      </c>
      <c r="B45" s="3" t="n">
        <v>7</v>
      </c>
      <c r="C45" s="4" t="inlineStr">
        <is>
          <t>7. Settlement, Reconciliation &amp; Revenue</t>
        </is>
      </c>
      <c r="D45" s="4" t="inlineStr">
        <is>
          <t>FX margin + service fee capture</t>
        </is>
      </c>
      <c r="E45" s="4" t="inlineStr">
        <is>
          <t>Record margin &amp; flat service fee revenue.</t>
        </is>
      </c>
      <c r="F45" s="3" t="n">
        <v>2</v>
      </c>
      <c r="G45" s="4" t="inlineStr">
        <is>
          <t>Hub Core</t>
        </is>
      </c>
      <c r="H45" s="4" t="inlineStr">
        <is>
          <t>RATE-04</t>
        </is>
      </c>
      <c r="I45" s="5" t="n">
        <v>4</v>
      </c>
      <c r="J45" s="4" t="inlineStr">
        <is>
          <t>5.5</t>
        </is>
      </c>
      <c r="K45" s="4" t="inlineStr">
        <is>
          <t>Revenue capture; + rounding-residual posting to REVENUE_ROUNDING</t>
        </is>
      </c>
      <c r="L45" s="4" t="inlineStr">
        <is>
          <t>BE</t>
        </is>
      </c>
      <c r="M45" s="35" t="n">
        <v>26</v>
      </c>
      <c r="N45" s="35" t="n">
        <v>0</v>
      </c>
      <c r="O45" s="35" t="n">
        <v>6</v>
      </c>
      <c r="P45" s="35" t="n">
        <v>20</v>
      </c>
      <c r="Q45" s="35" t="inlineStr">
        <is>
          <t>0%</t>
        </is>
      </c>
      <c r="R45" s="36" t="inlineStr">
        <is>
          <t>IN PROGRESS</t>
        </is>
      </c>
      <c r="S45" s="35" t="inlineStr">
        <is>
          <t>R2</t>
        </is>
      </c>
    </row>
    <row r="46">
      <c r="A46" s="2" t="inlineStr">
        <is>
          <t>7.4</t>
        </is>
      </c>
      <c r="B46" s="3" t="n">
        <v>7</v>
      </c>
      <c r="C46" s="4" t="inlineStr">
        <is>
          <t>7. Settlement, Reconciliation &amp; Revenue</t>
        </is>
      </c>
      <c r="D46" s="4" t="inlineStr">
        <is>
          <t>Daily reconciliation engine</t>
        </is>
      </c>
      <c r="E46" s="4" t="inlineStr">
        <is>
          <t>Pool identity, settlement files, prefunding ledger.</t>
        </is>
      </c>
      <c r="F46" s="3" t="n">
        <v>2</v>
      </c>
      <c r="G46" s="4" t="inlineStr">
        <is>
          <t>Hub Core</t>
        </is>
      </c>
      <c r="H46" s="4" t="inlineStr">
        <is>
          <t>RATE-04, SCH-06</t>
        </is>
      </c>
      <c r="I46" s="5" t="n">
        <v>8</v>
      </c>
      <c r="J46" s="4" t="inlineStr">
        <is>
          <t>7.1,9.6</t>
        </is>
      </c>
      <c r="K46" s="4" t="inlineStr">
        <is>
          <t>Recon engine</t>
        </is>
      </c>
      <c r="L46" s="4" t="inlineStr">
        <is>
          <t>BE</t>
        </is>
      </c>
      <c r="M46" s="35" t="n">
        <v>28</v>
      </c>
      <c r="N46" s="35" t="n">
        <v>0</v>
      </c>
      <c r="O46" s="35" t="n">
        <v>4</v>
      </c>
      <c r="P46" s="35" t="n">
        <v>24</v>
      </c>
      <c r="Q46" s="35" t="inlineStr">
        <is>
          <t>0%</t>
        </is>
      </c>
      <c r="R46" s="36" t="inlineStr">
        <is>
          <t>IN PROGRESS</t>
        </is>
      </c>
      <c r="S46" s="35" t="inlineStr">
        <is>
          <t>R2</t>
        </is>
      </c>
    </row>
    <row r="47">
      <c r="A47" s="2" t="inlineStr">
        <is>
          <t>7.5</t>
        </is>
      </c>
      <c r="B47" s="3" t="n">
        <v>7</v>
      </c>
      <c r="C47" s="4" t="inlineStr">
        <is>
          <t>7. Settlement, Reconciliation &amp; Revenue</t>
        </is>
      </c>
      <c r="D47" s="4" t="inlineStr">
        <is>
          <t>Revenue reporting &amp; exports</t>
        </is>
      </c>
      <c r="E47" s="4" t="inlineStr">
        <is>
          <t>Revenue reports; exportable to Finance.</t>
        </is>
      </c>
      <c r="F47" s="3" t="n">
        <v>2</v>
      </c>
      <c r="G47" s="4" t="inlineStr">
        <is>
          <t>Hub Core</t>
        </is>
      </c>
      <c r="H47" s="4" t="inlineStr">
        <is>
          <t>PRD-07</t>
        </is>
      </c>
      <c r="I47" s="5" t="n">
        <v>6</v>
      </c>
      <c r="J47" s="4" t="inlineStr">
        <is>
          <t>7.2,7.3</t>
        </is>
      </c>
      <c r="K47" s="4" t="inlineStr">
        <is>
          <t>Revenue reports</t>
        </is>
      </c>
      <c r="L47" s="4" t="inlineStr">
        <is>
          <t>BE</t>
        </is>
      </c>
      <c r="M47" s="35" t="n">
        <v>26</v>
      </c>
      <c r="N47" s="35" t="n">
        <v>0</v>
      </c>
      <c r="O47" s="35" t="n">
        <v>0</v>
      </c>
      <c r="P47" s="35" t="n">
        <v>26</v>
      </c>
      <c r="Q47" s="35" t="inlineStr">
        <is>
          <t>0%</t>
        </is>
      </c>
      <c r="R47" s="37" t="inlineStr">
        <is>
          <t>NOT STARTED</t>
        </is>
      </c>
      <c r="S47" s="35" t="inlineStr">
        <is>
          <t>R7</t>
        </is>
      </c>
    </row>
    <row r="48">
      <c r="A48" s="2" t="inlineStr">
        <is>
          <t>7.6</t>
        </is>
      </c>
      <c r="B48" s="3" t="n">
        <v>7</v>
      </c>
      <c r="C48" s="4" t="inlineStr">
        <is>
          <t>7. Settlement, Reconciliation &amp; Revenue</t>
        </is>
      </c>
      <c r="D48" s="4" t="inlineStr">
        <is>
          <t>Gross settlement &amp; monthly invoicing</t>
        </is>
      </c>
      <c r="E48" s="4" t="inlineStr">
        <is>
          <t>Whole-amount settle; monthly merchant invoice; 0.21% ZP share.</t>
        </is>
      </c>
      <c r="F48" s="3" t="n">
        <v>2</v>
      </c>
      <c r="G48" s="4" t="inlineStr">
        <is>
          <t>Hub Core</t>
        </is>
      </c>
      <c r="H48" s="4" t="inlineStr">
        <is>
          <t>SCH-06</t>
        </is>
      </c>
      <c r="I48" s="5" t="n">
        <v>6</v>
      </c>
      <c r="J48" s="4" t="inlineStr">
        <is>
          <t>7.1</t>
        </is>
      </c>
      <c r="K48" s="4" t="inlineStr">
        <is>
          <t>Invoicing logic</t>
        </is>
      </c>
      <c r="L48" s="4" t="inlineStr">
        <is>
          <t>BE</t>
        </is>
      </c>
      <c r="M48" s="35" t="n">
        <v>24</v>
      </c>
      <c r="N48" s="35" t="n">
        <v>0</v>
      </c>
      <c r="O48" s="35" t="n">
        <v>1</v>
      </c>
      <c r="P48" s="35" t="n">
        <v>23</v>
      </c>
      <c r="Q48" s="35" t="inlineStr">
        <is>
          <t>0%</t>
        </is>
      </c>
      <c r="R48" s="36" t="inlineStr">
        <is>
          <t>IN PROGRESS</t>
        </is>
      </c>
      <c r="S48" s="35" t="inlineStr">
        <is>
          <t>R2</t>
        </is>
      </c>
    </row>
    <row r="49">
      <c r="A49" s="6" t="inlineStr">
        <is>
          <t>8.1</t>
        </is>
      </c>
      <c r="B49" s="7" t="n">
        <v>8</v>
      </c>
      <c r="C49" s="8" t="inlineStr">
        <is>
          <t>8. Partner (Northbound) API</t>
        </is>
      </c>
      <c r="D49" s="8" t="inlineStr">
        <is>
          <t>API gateway &amp; versioning framework</t>
        </is>
      </c>
      <c r="E49" s="8" t="inlineStr">
        <is>
          <t>Base REST framework, /v1, conventions.</t>
        </is>
      </c>
      <c r="F49" s="7" t="n">
        <v>1</v>
      </c>
      <c r="G49" s="8" t="inlineStr">
        <is>
          <t>API-N</t>
        </is>
      </c>
      <c r="H49" s="8" t="inlineStr">
        <is>
          <t>API-05</t>
        </is>
      </c>
      <c r="I49" s="9" t="n">
        <v>5</v>
      </c>
      <c r="J49" s="8" t="inlineStr">
        <is>
          <t>2.2</t>
        </is>
      </c>
      <c r="K49" s="8" t="inlineStr">
        <is>
          <t>API base</t>
        </is>
      </c>
      <c r="L49" s="8" t="inlineStr">
        <is>
          <t>BE</t>
        </is>
      </c>
      <c r="M49" s="35" t="n">
        <v>26</v>
      </c>
      <c r="N49" s="35" t="n">
        <v>3</v>
      </c>
      <c r="O49" s="35" t="n">
        <v>6</v>
      </c>
      <c r="P49" s="35" t="n">
        <v>17</v>
      </c>
      <c r="Q49" s="35" t="inlineStr">
        <is>
          <t>12%</t>
        </is>
      </c>
      <c r="R49" s="36" t="inlineStr">
        <is>
          <t>IN PROGRESS</t>
        </is>
      </c>
      <c r="S49" s="35" t="inlineStr">
        <is>
          <t>R3</t>
        </is>
      </c>
    </row>
    <row r="50">
      <c r="A50" s="6" t="inlineStr">
        <is>
          <t>8.2</t>
        </is>
      </c>
      <c r="B50" s="7" t="n">
        <v>8</v>
      </c>
      <c r="C50" s="8" t="inlineStr">
        <is>
          <t>8. Partner (Northbound) API</t>
        </is>
      </c>
      <c r="D50" s="8" t="inlineStr">
        <is>
          <t>Auth: API key + HMAC signing</t>
        </is>
      </c>
      <c r="E50" s="8" t="inlineStr">
        <is>
          <t>Per-partner creds (hashed), signing, replay protection.</t>
        </is>
      </c>
      <c r="F50" s="7" t="n">
        <v>1</v>
      </c>
      <c r="G50" s="8" t="inlineStr">
        <is>
          <t>API-N</t>
        </is>
      </c>
      <c r="H50" s="8" t="inlineStr">
        <is>
          <t>API-05, SEC-09</t>
        </is>
      </c>
      <c r="I50" s="9" t="n">
        <v>6</v>
      </c>
      <c r="J50" s="8" t="inlineStr">
        <is>
          <t>8.1,13.2</t>
        </is>
      </c>
      <c r="K50" s="8" t="inlineStr">
        <is>
          <t>Auth module</t>
        </is>
      </c>
      <c r="L50" s="8" t="inlineStr">
        <is>
          <t>BE</t>
        </is>
      </c>
      <c r="M50" s="35" t="n">
        <v>22</v>
      </c>
      <c r="N50" s="35" t="n">
        <v>1</v>
      </c>
      <c r="O50" s="35" t="n">
        <v>7</v>
      </c>
      <c r="P50" s="35" t="n">
        <v>14</v>
      </c>
      <c r="Q50" s="35" t="inlineStr">
        <is>
          <t>5%</t>
        </is>
      </c>
      <c r="R50" s="36" t="inlineStr">
        <is>
          <t>IN PROGRESS</t>
        </is>
      </c>
      <c r="S50" s="35" t="inlineStr">
        <is>
          <t>R3</t>
        </is>
      </c>
    </row>
    <row r="51">
      <c r="A51" s="6" t="inlineStr">
        <is>
          <t>8.3</t>
        </is>
      </c>
      <c r="B51" s="7" t="n">
        <v>8</v>
      </c>
      <c r="C51" s="8" t="inlineStr">
        <is>
          <t>8. Partner (Northbound) API</t>
        </is>
      </c>
      <c r="D51" s="8" t="inlineStr">
        <is>
          <t>POST /rates (quote)</t>
        </is>
      </c>
      <c r="E51" s="8" t="inlineStr">
        <is>
          <t>Quote endpoint returning offer_rate, validUntil.</t>
        </is>
      </c>
      <c r="F51" s="7" t="n">
        <v>1</v>
      </c>
      <c r="G51" s="8" t="inlineStr">
        <is>
          <t>API-N</t>
        </is>
      </c>
      <c r="H51" s="8" t="inlineStr">
        <is>
          <t>API-05, RATE-04</t>
        </is>
      </c>
      <c r="I51" s="9" t="n">
        <v>4</v>
      </c>
      <c r="J51" s="8" t="inlineStr">
        <is>
          <t>8.1,4.7</t>
        </is>
      </c>
      <c r="K51" s="8" t="inlineStr">
        <is>
          <t>Quote endpoint</t>
        </is>
      </c>
      <c r="L51" s="8" t="inlineStr">
        <is>
          <t>BE</t>
        </is>
      </c>
      <c r="M51" s="35" t="n">
        <v>1</v>
      </c>
      <c r="N51" s="35" t="n">
        <v>0</v>
      </c>
      <c r="O51" s="35" t="n">
        <v>0</v>
      </c>
      <c r="P51" s="35" t="n">
        <v>1</v>
      </c>
      <c r="Q51" s="35" t="inlineStr">
        <is>
          <t>0%</t>
        </is>
      </c>
      <c r="R51" s="37" t="inlineStr">
        <is>
          <t>NOT STARTED</t>
        </is>
      </c>
      <c r="S51" s="35" t="inlineStr">
        <is>
          <t>R2</t>
        </is>
      </c>
    </row>
    <row r="52">
      <c r="A52" s="6" t="inlineStr">
        <is>
          <t>8.4</t>
        </is>
      </c>
      <c r="B52" s="7" t="n">
        <v>8</v>
      </c>
      <c r="C52" s="8" t="inlineStr">
        <is>
          <t>8. Partner (Northbound) API</t>
        </is>
      </c>
      <c r="D52" s="8" t="inlineStr">
        <is>
          <t>POST /payments &amp; /cpm/generate</t>
        </is>
      </c>
      <c r="E52" s="8" t="inlineStr">
        <is>
          <t>Execute MPM and issue CPM token.</t>
        </is>
      </c>
      <c r="F52" s="7" t="n">
        <v>1</v>
      </c>
      <c r="G52" s="8" t="inlineStr">
        <is>
          <t>API-N</t>
        </is>
      </c>
      <c r="H52" s="8" t="inlineStr">
        <is>
          <t>API-05</t>
        </is>
      </c>
      <c r="I52" s="9" t="n">
        <v>6</v>
      </c>
      <c r="J52" s="8" t="inlineStr">
        <is>
          <t>8.1,5.2,5.3</t>
        </is>
      </c>
      <c r="K52" s="8" t="inlineStr">
        <is>
          <t>Payment endpoints</t>
        </is>
      </c>
      <c r="L52" s="8" t="inlineStr">
        <is>
          <t>BE</t>
        </is>
      </c>
      <c r="M52" s="35" t="n">
        <v>32</v>
      </c>
      <c r="N52" s="35" t="n">
        <v>0</v>
      </c>
      <c r="O52" s="35" t="n">
        <v>11</v>
      </c>
      <c r="P52" s="35" t="n">
        <v>21</v>
      </c>
      <c r="Q52" s="35" t="inlineStr">
        <is>
          <t>0%</t>
        </is>
      </c>
      <c r="R52" s="36" t="inlineStr">
        <is>
          <t>IN PROGRESS</t>
        </is>
      </c>
      <c r="S52" s="35" t="inlineStr">
        <is>
          <t>R2</t>
        </is>
      </c>
    </row>
    <row r="53">
      <c r="A53" s="6" t="inlineStr">
        <is>
          <t>8.5</t>
        </is>
      </c>
      <c r="B53" s="7" t="n">
        <v>8</v>
      </c>
      <c r="C53" s="8" t="inlineStr">
        <is>
          <t>8. Partner (Northbound) API</t>
        </is>
      </c>
      <c r="D53" s="8" t="inlineStr">
        <is>
          <t>Query/cancel/merchant/balance endpoints</t>
        </is>
      </c>
      <c r="E53" s="8" t="inlineStr">
        <is>
          <t>GET /payments/{id}, /cancel, /merchants, /balance.</t>
        </is>
      </c>
      <c r="F53" s="7" t="n">
        <v>1</v>
      </c>
      <c r="G53" s="8" t="inlineStr">
        <is>
          <t>API-N</t>
        </is>
      </c>
      <c r="H53" s="8" t="inlineStr">
        <is>
          <t>API-05</t>
        </is>
      </c>
      <c r="I53" s="9" t="n">
        <v>5</v>
      </c>
      <c r="J53" s="8" t="inlineStr">
        <is>
          <t>8.1,6.1</t>
        </is>
      </c>
      <c r="K53" s="8" t="inlineStr">
        <is>
          <t>Supporting endpoints</t>
        </is>
      </c>
      <c r="L53" s="8" t="inlineStr">
        <is>
          <t>BE</t>
        </is>
      </c>
      <c r="M53" s="35" t="n">
        <v>30</v>
      </c>
      <c r="N53" s="35" t="n">
        <v>0</v>
      </c>
      <c r="O53" s="35" t="n">
        <v>11</v>
      </c>
      <c r="P53" s="35" t="n">
        <v>19</v>
      </c>
      <c r="Q53" s="35" t="inlineStr">
        <is>
          <t>0%</t>
        </is>
      </c>
      <c r="R53" s="36" t="inlineStr">
        <is>
          <t>IN PROGRESS</t>
        </is>
      </c>
      <c r="S53" s="35" t="inlineStr">
        <is>
          <t>R2</t>
        </is>
      </c>
    </row>
    <row r="54">
      <c r="A54" s="6" t="inlineStr">
        <is>
          <t>8.6</t>
        </is>
      </c>
      <c r="B54" s="7" t="n">
        <v>8</v>
      </c>
      <c r="C54" s="8" t="inlineStr">
        <is>
          <t>8. Partner (Northbound) API</t>
        </is>
      </c>
      <c r="D54" s="8" t="inlineStr">
        <is>
          <t>Webhooks: events, signing, retry</t>
        </is>
      </c>
      <c r="E54" s="8" t="inlineStr">
        <is>
          <t>Event delivery, signatures, backoff, ordering.</t>
        </is>
      </c>
      <c r="F54" s="7" t="n">
        <v>1</v>
      </c>
      <c r="G54" s="8" t="inlineStr">
        <is>
          <t>API-N</t>
        </is>
      </c>
      <c r="H54" s="8" t="inlineStr">
        <is>
          <t>API-05</t>
        </is>
      </c>
      <c r="I54" s="9" t="n">
        <v>8</v>
      </c>
      <c r="J54" s="8" t="inlineStr">
        <is>
          <t>8.1,5.5</t>
        </is>
      </c>
      <c r="K54" s="8" t="inlineStr">
        <is>
          <t>Webhook svc</t>
        </is>
      </c>
      <c r="L54" s="8" t="inlineStr">
        <is>
          <t>BE</t>
        </is>
      </c>
      <c r="M54" s="35" t="n">
        <v>26</v>
      </c>
      <c r="N54" s="35" t="n">
        <v>0</v>
      </c>
      <c r="O54" s="35" t="n">
        <v>9</v>
      </c>
      <c r="P54" s="35" t="n">
        <v>17</v>
      </c>
      <c r="Q54" s="35" t="inlineStr">
        <is>
          <t>0%</t>
        </is>
      </c>
      <c r="R54" s="36" t="inlineStr">
        <is>
          <t>IN PROGRESS</t>
        </is>
      </c>
      <c r="S54" s="35" t="inlineStr">
        <is>
          <t>R2</t>
        </is>
      </c>
    </row>
    <row r="55">
      <c r="A55" s="6" t="inlineStr">
        <is>
          <t>8.7</t>
        </is>
      </c>
      <c r="B55" s="7" t="n">
        <v>8</v>
      </c>
      <c r="C55" s="8" t="inlineStr">
        <is>
          <t>8. Partner (Northbound) API</t>
        </is>
      </c>
      <c r="D55" s="8" t="inlineStr">
        <is>
          <t>Error model &amp; codes</t>
        </is>
      </c>
      <c r="E55" s="8" t="inlineStr">
        <is>
          <t>Standard envelope + full error-code set.</t>
        </is>
      </c>
      <c r="F55" s="7" t="n">
        <v>1</v>
      </c>
      <c r="G55" s="8" t="inlineStr">
        <is>
          <t>API-N</t>
        </is>
      </c>
      <c r="H55" s="8" t="inlineStr">
        <is>
          <t>API-05</t>
        </is>
      </c>
      <c r="I55" s="9" t="n">
        <v>3</v>
      </c>
      <c r="J55" s="8" t="inlineStr">
        <is>
          <t>8.1</t>
        </is>
      </c>
      <c r="K55" s="8" t="inlineStr">
        <is>
          <t>Error catalog</t>
        </is>
      </c>
      <c r="L55" s="8" t="inlineStr">
        <is>
          <t>BE</t>
        </is>
      </c>
      <c r="M55" s="35" t="n">
        <v>18</v>
      </c>
      <c r="N55" s="35" t="n">
        <v>4</v>
      </c>
      <c r="O55" s="35" t="n">
        <v>5</v>
      </c>
      <c r="P55" s="35" t="n">
        <v>9</v>
      </c>
      <c r="Q55" s="35" t="inlineStr">
        <is>
          <t>22%</t>
        </is>
      </c>
      <c r="R55" s="36" t="inlineStr">
        <is>
          <t>IN PROGRESS</t>
        </is>
      </c>
      <c r="S55" s="35" t="inlineStr">
        <is>
          <t>R2</t>
        </is>
      </c>
    </row>
    <row r="56">
      <c r="A56" s="6" t="inlineStr">
        <is>
          <t>8.8</t>
        </is>
      </c>
      <c r="B56" s="7" t="n">
        <v>8</v>
      </c>
      <c r="C56" s="8" t="inlineStr">
        <is>
          <t>8. Partner (Northbound) API</t>
        </is>
      </c>
      <c r="D56" s="8" t="inlineStr">
        <is>
          <t>Rate limiting &amp; IP allowlist</t>
        </is>
      </c>
      <c r="E56" s="8" t="inlineStr">
        <is>
          <t>Throttling and allowlist enforcement.</t>
        </is>
      </c>
      <c r="F56" s="7" t="n">
        <v>1</v>
      </c>
      <c r="G56" s="8" t="inlineStr">
        <is>
          <t>API-N</t>
        </is>
      </c>
      <c r="H56" s="8" t="inlineStr">
        <is>
          <t>API-05, SEC-09</t>
        </is>
      </c>
      <c r="I56" s="9" t="n">
        <v>3</v>
      </c>
      <c r="J56" s="8" t="inlineStr">
        <is>
          <t>8.1</t>
        </is>
      </c>
      <c r="K56" s="8" t="inlineStr">
        <is>
          <t>Throttle/allowlist</t>
        </is>
      </c>
      <c r="L56" s="8" t="inlineStr">
        <is>
          <t>BE</t>
        </is>
      </c>
      <c r="M56" s="35" t="n">
        <v>21</v>
      </c>
      <c r="N56" s="35" t="n">
        <v>0</v>
      </c>
      <c r="O56" s="35" t="n">
        <v>0</v>
      </c>
      <c r="P56" s="35" t="n">
        <v>21</v>
      </c>
      <c r="Q56" s="35" t="inlineStr">
        <is>
          <t>0%</t>
        </is>
      </c>
      <c r="R56" s="37" t="inlineStr">
        <is>
          <t>NOT STARTED</t>
        </is>
      </c>
      <c r="S56" s="35" t="inlineStr">
        <is>
          <t>R3</t>
        </is>
      </c>
    </row>
    <row r="57">
      <c r="A57" s="6" t="inlineStr">
        <is>
          <t>8.9</t>
        </is>
      </c>
      <c r="B57" s="7" t="n">
        <v>8</v>
      </c>
      <c r="C57" s="8" t="inlineStr">
        <is>
          <t>8. Partner (Northbound) API</t>
        </is>
      </c>
      <c r="D57" s="8" t="inlineStr">
        <is>
          <t>OpenAPI finalization &amp; sandbox</t>
        </is>
      </c>
      <c r="E57" s="8" t="inlineStr">
        <is>
          <t>Validate vs partner-api.yaml; sandbox env.</t>
        </is>
      </c>
      <c r="F57" s="7" t="n">
        <v>1</v>
      </c>
      <c r="G57" s="8" t="inlineStr">
        <is>
          <t>API-N</t>
        </is>
      </c>
      <c r="H57" s="8" t="inlineStr">
        <is>
          <t>API-05</t>
        </is>
      </c>
      <c r="I57" s="9" t="n">
        <v>5</v>
      </c>
      <c r="J57" s="8" t="inlineStr">
        <is>
          <t>8.3,8.4,8.5</t>
        </is>
      </c>
      <c r="K57" s="8" t="inlineStr">
        <is>
          <t>Sandbox + spec</t>
        </is>
      </c>
      <c r="L57" s="8" t="inlineStr">
        <is>
          <t>BE</t>
        </is>
      </c>
      <c r="M57" s="35" t="n">
        <v>28</v>
      </c>
      <c r="N57" s="35" t="n">
        <v>0</v>
      </c>
      <c r="O57" s="35" t="n">
        <v>10</v>
      </c>
      <c r="P57" s="35" t="n">
        <v>18</v>
      </c>
      <c r="Q57" s="35" t="inlineStr">
        <is>
          <t>0%</t>
        </is>
      </c>
      <c r="R57" s="36" t="inlineStr">
        <is>
          <t>IN PROGRESS</t>
        </is>
      </c>
      <c r="S57" s="35" t="inlineStr">
        <is>
          <t>R7</t>
        </is>
      </c>
    </row>
    <row r="58">
      <c r="A58" s="6" t="inlineStr">
        <is>
          <t>8.10</t>
        </is>
      </c>
      <c r="B58" s="7" t="n">
        <v>8</v>
      </c>
      <c r="C58" s="8" t="inlineStr">
        <is>
          <t>8. Partner (Northbound) API</t>
        </is>
      </c>
      <c r="D58" s="8" t="inlineStr">
        <is>
          <t>Partner integration &amp; certification kit</t>
        </is>
      </c>
      <c r="E58" s="8" t="inlineStr">
        <is>
          <t>Onboarding guide, cert checklist.</t>
        </is>
      </c>
      <c r="F58" s="7" t="n">
        <v>3</v>
      </c>
      <c r="G58" s="8" t="inlineStr">
        <is>
          <t>API-N</t>
        </is>
      </c>
      <c r="H58" s="8" t="inlineStr">
        <is>
          <t>API-05</t>
        </is>
      </c>
      <c r="I58" s="9" t="n">
        <v>5</v>
      </c>
      <c r="J58" s="8" t="inlineStr">
        <is>
          <t>8.9</t>
        </is>
      </c>
      <c r="K58" s="8" t="inlineStr">
        <is>
          <t>Integration kit</t>
        </is>
      </c>
      <c r="L58" s="8" t="inlineStr">
        <is>
          <t>BA</t>
        </is>
      </c>
      <c r="M58" s="35" t="n">
        <v>30</v>
      </c>
      <c r="N58" s="35" t="n">
        <v>1</v>
      </c>
      <c r="O58" s="35" t="n">
        <v>14</v>
      </c>
      <c r="P58" s="35" t="n">
        <v>15</v>
      </c>
      <c r="Q58" s="35" t="inlineStr">
        <is>
          <t>3%</t>
        </is>
      </c>
      <c r="R58" s="36" t="inlineStr">
        <is>
          <t>IN PROGRESS</t>
        </is>
      </c>
      <c r="S58" s="35" t="inlineStr">
        <is>
          <t>R7</t>
        </is>
      </c>
    </row>
    <row r="59">
      <c r="A59" s="2" t="inlineStr">
        <is>
          <t>9.1</t>
        </is>
      </c>
      <c r="B59" s="3" t="n">
        <v>9</v>
      </c>
      <c r="C59" s="4" t="inlineStr">
        <is>
          <t>9. QR Scheme Integration (ZeroPay)</t>
        </is>
      </c>
      <c r="D59" s="4" t="inlineStr">
        <is>
          <t>Scheme Adapter abstraction</t>
        </is>
      </c>
      <c r="E59" s="4" t="inlineStr">
        <is>
          <t>Pluggable adapter interface for any scheme.</t>
        </is>
      </c>
      <c r="F59" s="3" t="n">
        <v>2</v>
      </c>
      <c r="G59" s="4" t="inlineStr">
        <is>
          <t>API-S</t>
        </is>
      </c>
      <c r="H59" s="4" t="inlineStr">
        <is>
          <t>SCH-06</t>
        </is>
      </c>
      <c r="I59" s="5" t="n">
        <v>6</v>
      </c>
      <c r="J59" s="4" t="inlineStr">
        <is>
          <t>2.2</t>
        </is>
      </c>
      <c r="K59" s="4" t="inlineStr">
        <is>
          <t>Adapter interface</t>
        </is>
      </c>
      <c r="L59" s="4" t="inlineStr">
        <is>
          <t>ARCH</t>
        </is>
      </c>
      <c r="M59" s="35" t="n">
        <v>31</v>
      </c>
      <c r="N59" s="35" t="n">
        <v>1</v>
      </c>
      <c r="O59" s="35" t="n">
        <v>6</v>
      </c>
      <c r="P59" s="35" t="n">
        <v>24</v>
      </c>
      <c r="Q59" s="35" t="inlineStr">
        <is>
          <t>3%</t>
        </is>
      </c>
      <c r="R59" s="36" t="inlineStr">
        <is>
          <t>IN PROGRESS</t>
        </is>
      </c>
      <c r="S59" s="35" t="inlineStr">
        <is>
          <t>R2</t>
        </is>
      </c>
    </row>
    <row r="60">
      <c r="A60" s="2" t="inlineStr">
        <is>
          <t>9.2</t>
        </is>
      </c>
      <c r="B60" s="3" t="n">
        <v>9</v>
      </c>
      <c r="C60" s="4" t="inlineStr">
        <is>
          <t>9. QR Scheme Integration (ZeroPay)</t>
        </is>
      </c>
      <c r="D60" s="4" t="inlineStr">
        <is>
          <t>SFTP connectivity, keys, PGP</t>
        </is>
      </c>
      <c r="E60" s="4" t="inlineStr">
        <is>
          <t>Secure SFTP, key mgmt, file naming/retention.</t>
        </is>
      </c>
      <c r="F60" s="3" t="n">
        <v>2</v>
      </c>
      <c r="G60" s="4" t="inlineStr">
        <is>
          <t>API-S</t>
        </is>
      </c>
      <c r="H60" s="4" t="inlineStr">
        <is>
          <t>SCH-06, SEC-09</t>
        </is>
      </c>
      <c r="I60" s="5" t="n">
        <v>6</v>
      </c>
      <c r="J60" s="4" t="inlineStr">
        <is>
          <t>9.1,14.3</t>
        </is>
      </c>
      <c r="K60" s="4" t="inlineStr">
        <is>
          <t>SFTP channel</t>
        </is>
      </c>
      <c r="L60" s="4" t="inlineStr">
        <is>
          <t>DevOps</t>
        </is>
      </c>
      <c r="M60" s="35" t="n">
        <v>34</v>
      </c>
      <c r="N60" s="35" t="n">
        <v>0</v>
      </c>
      <c r="O60" s="35" t="n">
        <v>2</v>
      </c>
      <c r="P60" s="35" t="n">
        <v>32</v>
      </c>
      <c r="Q60" s="35" t="inlineStr">
        <is>
          <t>0%</t>
        </is>
      </c>
      <c r="R60" s="36" t="inlineStr">
        <is>
          <t>IN PROGRESS</t>
        </is>
      </c>
      <c r="S60" s="35" t="inlineStr">
        <is>
          <t>R7</t>
        </is>
      </c>
    </row>
    <row r="61">
      <c r="A61" s="2" t="inlineStr">
        <is>
          <t>9.3</t>
        </is>
      </c>
      <c r="B61" s="3" t="n">
        <v>9</v>
      </c>
      <c r="C61" s="4" t="inlineStr">
        <is>
          <t>9. QR Scheme Integration (ZeroPay)</t>
        </is>
      </c>
      <c r="D61" s="4" t="inlineStr">
        <is>
          <t>Merchant &amp; QR synchronization</t>
        </is>
      </c>
      <c r="E61" s="4" t="inlineStr">
        <is>
          <t>ZP0041/45/47/51/55 + ZP0043/53; delta+full recon.</t>
        </is>
      </c>
      <c r="F61" s="3" t="n">
        <v>2</v>
      </c>
      <c r="G61" s="4" t="inlineStr">
        <is>
          <t>API-S</t>
        </is>
      </c>
      <c r="H61" s="4" t="inlineStr">
        <is>
          <t>SCH-06</t>
        </is>
      </c>
      <c r="I61" s="5" t="n">
        <v>12</v>
      </c>
      <c r="J61" s="4" t="inlineStr">
        <is>
          <t>9.2,3.2</t>
        </is>
      </c>
      <c r="K61" s="4" t="inlineStr">
        <is>
          <t>Sync jobs</t>
        </is>
      </c>
      <c r="L61" s="4" t="inlineStr">
        <is>
          <t>BE</t>
        </is>
      </c>
      <c r="M61" s="35" t="n">
        <v>30</v>
      </c>
      <c r="N61" s="35" t="n">
        <v>0</v>
      </c>
      <c r="O61" s="35" t="n">
        <v>2</v>
      </c>
      <c r="P61" s="35" t="n">
        <v>28</v>
      </c>
      <c r="Q61" s="35" t="inlineStr">
        <is>
          <t>0%</t>
        </is>
      </c>
      <c r="R61" s="36" t="inlineStr">
        <is>
          <t>IN PROGRESS</t>
        </is>
      </c>
      <c r="S61" s="35" t="inlineStr">
        <is>
          <t>R7</t>
        </is>
      </c>
    </row>
    <row r="62">
      <c r="A62" s="2" t="inlineStr">
        <is>
          <t>9.4</t>
        </is>
      </c>
      <c r="B62" s="3" t="n">
        <v>9</v>
      </c>
      <c r="C62" s="4" t="inlineStr">
        <is>
          <t>9. QR Scheme Integration (ZeroPay)</t>
        </is>
      </c>
      <c r="D62" s="4" t="inlineStr">
        <is>
          <t>Payment result exchange (ZP0011/0012)</t>
        </is>
      </c>
      <c r="E62" s="4" t="inlineStr">
        <is>
          <t>Outbound result; inbound result matching.</t>
        </is>
      </c>
      <c r="F62" s="3" t="n">
        <v>2</v>
      </c>
      <c r="G62" s="4" t="inlineStr">
        <is>
          <t>API-S</t>
        </is>
      </c>
      <c r="H62" s="4" t="inlineStr">
        <is>
          <t>SCH-06</t>
        </is>
      </c>
      <c r="I62" s="5" t="n">
        <v>8</v>
      </c>
      <c r="J62" s="4" t="inlineStr">
        <is>
          <t>9.2,5.5</t>
        </is>
      </c>
      <c r="K62" s="4" t="inlineStr">
        <is>
          <t>Payment batch</t>
        </is>
      </c>
      <c r="L62" s="4" t="inlineStr">
        <is>
          <t>BE</t>
        </is>
      </c>
      <c r="M62" s="35" t="n">
        <v>25</v>
      </c>
      <c r="N62" s="35" t="n">
        <v>0</v>
      </c>
      <c r="O62" s="35" t="n">
        <v>3</v>
      </c>
      <c r="P62" s="35" t="n">
        <v>22</v>
      </c>
      <c r="Q62" s="35" t="inlineStr">
        <is>
          <t>0%</t>
        </is>
      </c>
      <c r="R62" s="36" t="inlineStr">
        <is>
          <t>IN PROGRESS</t>
        </is>
      </c>
      <c r="S62" s="35" t="inlineStr">
        <is>
          <t>R2</t>
        </is>
      </c>
    </row>
    <row r="63">
      <c r="A63" s="2" t="inlineStr">
        <is>
          <t>9.5</t>
        </is>
      </c>
      <c r="B63" s="3" t="n">
        <v>9</v>
      </c>
      <c r="C63" s="4" t="inlineStr">
        <is>
          <t>9. QR Scheme Integration (ZeroPay)</t>
        </is>
      </c>
      <c r="D63" s="4" t="inlineStr">
        <is>
          <t>Refund result exchange (ZP0021/0022)</t>
        </is>
      </c>
      <c r="E63" s="4" t="inlineStr">
        <is>
          <t>Refund batch round-trip.</t>
        </is>
      </c>
      <c r="F63" s="3" t="n">
        <v>2</v>
      </c>
      <c r="G63" s="4" t="inlineStr">
        <is>
          <t>API-S</t>
        </is>
      </c>
      <c r="H63" s="4" t="inlineStr">
        <is>
          <t>SCH-06</t>
        </is>
      </c>
      <c r="I63" s="5" t="n">
        <v>6</v>
      </c>
      <c r="J63" s="4" t="inlineStr">
        <is>
          <t>9.4</t>
        </is>
      </c>
      <c r="K63" s="4" t="inlineStr">
        <is>
          <t>Refund batch</t>
        </is>
      </c>
      <c r="L63" s="4" t="inlineStr">
        <is>
          <t>BE</t>
        </is>
      </c>
      <c r="M63" s="35" t="n">
        <v>27</v>
      </c>
      <c r="N63" s="35" t="n">
        <v>0</v>
      </c>
      <c r="O63" s="35" t="n">
        <v>0</v>
      </c>
      <c r="P63" s="35" t="n">
        <v>27</v>
      </c>
      <c r="Q63" s="35" t="inlineStr">
        <is>
          <t>0%</t>
        </is>
      </c>
      <c r="R63" s="37" t="inlineStr">
        <is>
          <t>NOT STARTED</t>
        </is>
      </c>
      <c r="S63" s="35" t="inlineStr">
        <is>
          <t>R7</t>
        </is>
      </c>
    </row>
    <row r="64">
      <c r="A64" s="2" t="inlineStr">
        <is>
          <t>9.6</t>
        </is>
      </c>
      <c r="B64" s="3" t="n">
        <v>9</v>
      </c>
      <c r="C64" s="4" t="inlineStr">
        <is>
          <t>9. QR Scheme Integration (ZeroPay)</t>
        </is>
      </c>
      <c r="D64" s="4" t="inlineStr">
        <is>
          <t>Settlement files (ZP0061–0066)</t>
        </is>
      </c>
      <c r="E64" s="4" t="inlineStr">
        <is>
          <t>Settlement requests/results &amp; details.</t>
        </is>
      </c>
      <c r="F64" s="3" t="n">
        <v>2</v>
      </c>
      <c r="G64" s="4" t="inlineStr">
        <is>
          <t>API-S</t>
        </is>
      </c>
      <c r="H64" s="4" t="inlineStr">
        <is>
          <t>SCH-06</t>
        </is>
      </c>
      <c r="I64" s="5" t="n">
        <v>12</v>
      </c>
      <c r="J64" s="4" t="inlineStr">
        <is>
          <t>9.4,7.1</t>
        </is>
      </c>
      <c r="K64" s="4" t="inlineStr">
        <is>
          <t>Settlement batch</t>
        </is>
      </c>
      <c r="L64" s="4" t="inlineStr">
        <is>
          <t>BE</t>
        </is>
      </c>
      <c r="M64" s="35" t="n">
        <v>34</v>
      </c>
      <c r="N64" s="35" t="n">
        <v>0</v>
      </c>
      <c r="O64" s="35" t="n">
        <v>2</v>
      </c>
      <c r="P64" s="35" t="n">
        <v>32</v>
      </c>
      <c r="Q64" s="35" t="inlineStr">
        <is>
          <t>0%</t>
        </is>
      </c>
      <c r="R64" s="36" t="inlineStr">
        <is>
          <t>IN PROGRESS</t>
        </is>
      </c>
      <c r="S64" s="35" t="inlineStr">
        <is>
          <t>R7</t>
        </is>
      </c>
    </row>
    <row r="65">
      <c r="A65" s="2" t="inlineStr">
        <is>
          <t>9.7</t>
        </is>
      </c>
      <c r="B65" s="3" t="n">
        <v>9</v>
      </c>
      <c r="C65" s="4" t="inlineStr">
        <is>
          <t>9. QR Scheme Integration (ZeroPay)</t>
        </is>
      </c>
      <c r="D65" s="4" t="inlineStr">
        <is>
          <t>Batch scheduler &amp; window monitoring</t>
        </is>
      </c>
      <c r="E65" s="4" t="inlineStr">
        <is>
          <t>Schedule ZP jobs; alert on missed windows.</t>
        </is>
      </c>
      <c r="F65" s="3" t="n">
        <v>2</v>
      </c>
      <c r="G65" s="4" t="inlineStr">
        <is>
          <t>API-S</t>
        </is>
      </c>
      <c r="H65" s="4" t="inlineStr">
        <is>
          <t>SCH-06, OPS-13</t>
        </is>
      </c>
      <c r="I65" s="5" t="n">
        <v>6</v>
      </c>
      <c r="J65" s="4" t="inlineStr">
        <is>
          <t>9.2,14.6</t>
        </is>
      </c>
      <c r="K65" s="4" t="inlineStr">
        <is>
          <t>Batch scheduler</t>
        </is>
      </c>
      <c r="L65" s="4" t="inlineStr">
        <is>
          <t>DevOps</t>
        </is>
      </c>
      <c r="M65" s="35" t="n">
        <v>25</v>
      </c>
      <c r="N65" s="35" t="n">
        <v>0</v>
      </c>
      <c r="O65" s="35" t="n">
        <v>0</v>
      </c>
      <c r="P65" s="35" t="n">
        <v>25</v>
      </c>
      <c r="Q65" s="35" t="inlineStr">
        <is>
          <t>0%</t>
        </is>
      </c>
      <c r="R65" s="37" t="inlineStr">
        <is>
          <t>NOT STARTED</t>
        </is>
      </c>
      <c r="S65" s="35" t="inlineStr">
        <is>
          <t>R7</t>
        </is>
      </c>
    </row>
    <row r="66">
      <c r="A66" s="2" t="inlineStr">
        <is>
          <t>9.8</t>
        </is>
      </c>
      <c r="B66" s="3" t="n">
        <v>9</v>
      </c>
      <c r="C66" s="4" t="inlineStr">
        <is>
          <t>9. QR Scheme Integration (ZeroPay)</t>
        </is>
      </c>
      <c r="D66" s="4" t="inlineStr">
        <is>
          <t>Reconciliation &amp; exception handling</t>
        </is>
      </c>
      <c r="E66" s="4" t="inlineStr">
        <is>
          <t>Unmatched/late/partial handling, retransmit.</t>
        </is>
      </c>
      <c r="F66" s="3" t="n">
        <v>2</v>
      </c>
      <c r="G66" s="4" t="inlineStr">
        <is>
          <t>API-S</t>
        </is>
      </c>
      <c r="H66" s="4" t="inlineStr">
        <is>
          <t>SCH-06</t>
        </is>
      </c>
      <c r="I66" s="5" t="n">
        <v>8</v>
      </c>
      <c r="J66" s="4" t="inlineStr">
        <is>
          <t>9.4,9.6</t>
        </is>
      </c>
      <c r="K66" s="4" t="inlineStr">
        <is>
          <t>Exception handling</t>
        </is>
      </c>
      <c r="L66" s="4" t="inlineStr">
        <is>
          <t>BE</t>
        </is>
      </c>
      <c r="M66" s="35" t="n">
        <v>32</v>
      </c>
      <c r="N66" s="35" t="n">
        <v>0</v>
      </c>
      <c r="O66" s="35" t="n">
        <v>3</v>
      </c>
      <c r="P66" s="35" t="n">
        <v>29</v>
      </c>
      <c r="Q66" s="35" t="inlineStr">
        <is>
          <t>0%</t>
        </is>
      </c>
      <c r="R66" s="36" t="inlineStr">
        <is>
          <t>IN PROGRESS</t>
        </is>
      </c>
      <c r="S66" s="35" t="inlineStr">
        <is>
          <t>R7</t>
        </is>
      </c>
    </row>
    <row r="67">
      <c r="A67" s="2" t="inlineStr">
        <is>
          <t>9.9</t>
        </is>
      </c>
      <c r="B67" s="3" t="n">
        <v>9</v>
      </c>
      <c r="C67" s="4" t="inlineStr">
        <is>
          <t>9. QR Scheme Integration (ZeroPay)</t>
        </is>
      </c>
      <c r="D67" s="4" t="inlineStr">
        <is>
          <t>Scheme status/reason code mapping</t>
        </is>
      </c>
      <c r="E67" s="4" t="inlineStr">
        <is>
          <t>Map ZP codes to API-05 error model.</t>
        </is>
      </c>
      <c r="F67" s="3" t="n">
        <v>2</v>
      </c>
      <c r="G67" s="4" t="inlineStr">
        <is>
          <t>API-S</t>
        </is>
      </c>
      <c r="H67" s="4" t="inlineStr">
        <is>
          <t>SCH-06</t>
        </is>
      </c>
      <c r="I67" s="5" t="n">
        <v>3</v>
      </c>
      <c r="J67" s="4" t="inlineStr">
        <is>
          <t>9.4</t>
        </is>
      </c>
      <c r="K67" s="4" t="inlineStr">
        <is>
          <t>Code mapping</t>
        </is>
      </c>
      <c r="L67" s="4" t="inlineStr">
        <is>
          <t>BE</t>
        </is>
      </c>
      <c r="M67" s="35" t="n">
        <v>22</v>
      </c>
      <c r="N67" s="35" t="n">
        <v>0</v>
      </c>
      <c r="O67" s="35" t="n">
        <v>5</v>
      </c>
      <c r="P67" s="35" t="n">
        <v>17</v>
      </c>
      <c r="Q67" s="35" t="inlineStr">
        <is>
          <t>0%</t>
        </is>
      </c>
      <c r="R67" s="36" t="inlineStr">
        <is>
          <t>IN PROGRESS</t>
        </is>
      </c>
      <c r="S67" s="35" t="inlineStr">
        <is>
          <t>R2</t>
        </is>
      </c>
    </row>
    <row r="68">
      <c r="A68" s="2" t="inlineStr">
        <is>
          <t>9.10</t>
        </is>
      </c>
      <c r="B68" s="3" t="n">
        <v>9</v>
      </c>
      <c r="C68" s="4" t="inlineStr">
        <is>
          <t>9. QR Scheme Integration (ZeroPay)</t>
        </is>
      </c>
      <c r="D68" s="4" t="inlineStr">
        <is>
          <t>한결원/KFTC test env integration &amp; cert</t>
        </is>
      </c>
      <c r="E68" s="4" t="inlineStr">
        <is>
          <t>End-to-end against ZeroPay test environment.</t>
        </is>
      </c>
      <c r="F68" s="3" t="n">
        <v>2</v>
      </c>
      <c r="G68" s="4" t="inlineStr">
        <is>
          <t>API-S</t>
        </is>
      </c>
      <c r="H68" s="4" t="inlineStr">
        <is>
          <t>SCH-06, PM-14</t>
        </is>
      </c>
      <c r="I68" s="5" t="n">
        <v>10</v>
      </c>
      <c r="J68" s="4" t="inlineStr">
        <is>
          <t>9.3,9.4,9.6</t>
        </is>
      </c>
      <c r="K68" s="4" t="inlineStr">
        <is>
          <t>Scheme cert</t>
        </is>
      </c>
      <c r="L68" s="4" t="inlineStr">
        <is>
          <t>QA</t>
        </is>
      </c>
      <c r="M68" s="35" t="n">
        <v>36</v>
      </c>
      <c r="N68" s="35" t="n">
        <v>0</v>
      </c>
      <c r="O68" s="35" t="n">
        <v>1</v>
      </c>
      <c r="P68" s="35" t="n">
        <v>35</v>
      </c>
      <c r="Q68" s="35" t="inlineStr">
        <is>
          <t>0%</t>
        </is>
      </c>
      <c r="R68" s="36" t="inlineStr">
        <is>
          <t>IN PROGRESS</t>
        </is>
      </c>
      <c r="S68" s="35" t="inlineStr">
        <is>
          <t>R7</t>
        </is>
      </c>
    </row>
    <row r="69">
      <c r="A69" s="6" t="inlineStr">
        <is>
          <t>10.1</t>
        </is>
      </c>
      <c r="B69" s="7" t="n">
        <v>10</v>
      </c>
      <c r="C69" s="8" t="inlineStr">
        <is>
          <t>10. Admin System</t>
        </is>
      </c>
      <c r="D69" s="8" t="inlineStr">
        <is>
          <t>Admin app shell, nav &amp; auth (SSO/2FA)</t>
        </is>
      </c>
      <c r="E69" s="8" t="inlineStr">
        <is>
          <t>Shell, navigation, admin authentication.</t>
        </is>
      </c>
      <c r="F69" s="7" t="n">
        <v>1</v>
      </c>
      <c r="G69" s="8" t="inlineStr">
        <is>
          <t>Admin</t>
        </is>
      </c>
      <c r="H69" s="8" t="inlineStr">
        <is>
          <t>PRD-07, UX-11</t>
        </is>
      </c>
      <c r="I69" s="9" t="n">
        <v>6</v>
      </c>
      <c r="J69" s="8" t="inlineStr">
        <is>
          <t>12.1,13.2</t>
        </is>
      </c>
      <c r="K69" s="8" t="inlineStr">
        <is>
          <t>Admin shell</t>
        </is>
      </c>
      <c r="L69" s="8" t="inlineStr">
        <is>
          <t>FS</t>
        </is>
      </c>
      <c r="M69" s="35" t="n">
        <v>24</v>
      </c>
      <c r="N69" s="35" t="n">
        <v>0</v>
      </c>
      <c r="O69" s="35" t="n">
        <v>7</v>
      </c>
      <c r="P69" s="35" t="n">
        <v>17</v>
      </c>
      <c r="Q69" s="35" t="inlineStr">
        <is>
          <t>0%</t>
        </is>
      </c>
      <c r="R69" s="36" t="inlineStr">
        <is>
          <t>IN PROGRESS</t>
        </is>
      </c>
      <c r="S69" s="35" t="inlineStr">
        <is>
          <t>R4</t>
        </is>
      </c>
    </row>
    <row r="70">
      <c r="A70" s="6" t="inlineStr">
        <is>
          <t>10.2</t>
        </is>
      </c>
      <c r="B70" s="7" t="n">
        <v>10</v>
      </c>
      <c r="C70" s="8" t="inlineStr">
        <is>
          <t>10. Admin System</t>
        </is>
      </c>
      <c r="D70" s="8" t="inlineStr">
        <is>
          <t>Scheme management screens</t>
        </is>
      </c>
      <c r="E70" s="8" t="inlineStr">
        <is>
          <t>Create/edit scheme, connectivity, status.</t>
        </is>
      </c>
      <c r="F70" s="7" t="n">
        <v>2</v>
      </c>
      <c r="G70" s="8" t="inlineStr">
        <is>
          <t>Admin</t>
        </is>
      </c>
      <c r="H70" s="8" t="inlineStr">
        <is>
          <t>PRD-07</t>
        </is>
      </c>
      <c r="I70" s="9" t="n">
        <v>5</v>
      </c>
      <c r="J70" s="8" t="inlineStr">
        <is>
          <t>10.1,3.2</t>
        </is>
      </c>
      <c r="K70" s="8" t="inlineStr">
        <is>
          <t>Scheme UI</t>
        </is>
      </c>
      <c r="L70" s="8" t="inlineStr">
        <is>
          <t>FS</t>
        </is>
      </c>
      <c r="M70" s="35" t="n">
        <v>28</v>
      </c>
      <c r="N70" s="35" t="n">
        <v>0</v>
      </c>
      <c r="O70" s="35" t="n">
        <v>1</v>
      </c>
      <c r="P70" s="35" t="n">
        <v>27</v>
      </c>
      <c r="Q70" s="35" t="inlineStr">
        <is>
          <t>0%</t>
        </is>
      </c>
      <c r="R70" s="36" t="inlineStr">
        <is>
          <t>IN PROGRESS</t>
        </is>
      </c>
      <c r="S70" s="35" t="inlineStr">
        <is>
          <t>R4</t>
        </is>
      </c>
    </row>
    <row r="71">
      <c r="A71" s="6" t="inlineStr">
        <is>
          <t>10.3</t>
        </is>
      </c>
      <c r="B71" s="7" t="n">
        <v>10</v>
      </c>
      <c r="C71" s="8" t="inlineStr">
        <is>
          <t>10. Admin System</t>
        </is>
      </c>
      <c r="D71" s="8" t="inlineStr">
        <is>
          <t>Partner management &amp; credentials</t>
        </is>
      </c>
      <c r="E71" s="8" t="inlineStr">
        <is>
          <t>Onboard partner, type, settlement ccy, API creds.</t>
        </is>
      </c>
      <c r="F71" s="7" t="n">
        <v>2</v>
      </c>
      <c r="G71" s="8" t="inlineStr">
        <is>
          <t>Admin</t>
        </is>
      </c>
      <c r="H71" s="8" t="inlineStr">
        <is>
          <t>PRD-07</t>
        </is>
      </c>
      <c r="I71" s="9" t="n">
        <v>6</v>
      </c>
      <c r="J71" s="8" t="inlineStr">
        <is>
          <t>10.1,8.2</t>
        </is>
      </c>
      <c r="K71" s="8" t="inlineStr">
        <is>
          <t>Partner UI; + settlement-rounding-mode setting on partner</t>
        </is>
      </c>
      <c r="L71" s="8" t="inlineStr">
        <is>
          <t>FS</t>
        </is>
      </c>
      <c r="M71" s="35" t="n">
        <v>37</v>
      </c>
      <c r="N71" s="35" t="n">
        <v>0</v>
      </c>
      <c r="O71" s="35" t="n">
        <v>3</v>
      </c>
      <c r="P71" s="35" t="n">
        <v>34</v>
      </c>
      <c r="Q71" s="35" t="inlineStr">
        <is>
          <t>0%</t>
        </is>
      </c>
      <c r="R71" s="36" t="inlineStr">
        <is>
          <t>IN PROGRESS | SUPERSEDED — see WS 21 / docs/PARTNER_SETUP_PLAN.md</t>
        </is>
      </c>
      <c r="S71" s="35" t="inlineStr">
        <is>
          <t>R4</t>
        </is>
      </c>
    </row>
    <row r="72">
      <c r="A72" s="6" t="inlineStr">
        <is>
          <t>10.4</t>
        </is>
      </c>
      <c r="B72" s="7" t="n">
        <v>10</v>
      </c>
      <c r="C72" s="8" t="inlineStr">
        <is>
          <t>10. Admin System</t>
        </is>
      </c>
      <c r="D72" s="8" t="inlineStr">
        <is>
          <t>Rule/Mapping page — 4 sections</t>
        </is>
      </c>
      <c r="E72" s="8" t="inlineStr">
        <is>
          <t>Currency / Rate config / Margin / Service charge.</t>
        </is>
      </c>
      <c r="F72" s="7" t="n">
        <v>2</v>
      </c>
      <c r="G72" s="8" t="inlineStr">
        <is>
          <t>Admin</t>
        </is>
      </c>
      <c r="H72" s="8" t="inlineStr">
        <is>
          <t>PRD-07, RATE-04</t>
        </is>
      </c>
      <c r="I72" s="9" t="n">
        <v>12</v>
      </c>
      <c r="J72" s="8" t="inlineStr">
        <is>
          <t>10.3,4.1</t>
        </is>
      </c>
      <c r="K72" s="8" t="inlineStr">
        <is>
          <t>Mapping page</t>
        </is>
      </c>
      <c r="L72" s="8" t="inlineStr">
        <is>
          <t>FS</t>
        </is>
      </c>
      <c r="M72" s="35" t="n">
        <v>31</v>
      </c>
      <c r="N72" s="35" t="n">
        <v>0</v>
      </c>
      <c r="O72" s="35" t="n">
        <v>0</v>
      </c>
      <c r="P72" s="35" t="n">
        <v>31</v>
      </c>
      <c r="Q72" s="35" t="inlineStr">
        <is>
          <t>0%</t>
        </is>
      </c>
      <c r="R72" s="37" t="inlineStr">
        <is>
          <t>NOT STARTED</t>
        </is>
      </c>
      <c r="S72" s="35" t="inlineStr">
        <is>
          <t>R4</t>
        </is>
      </c>
    </row>
    <row r="73">
      <c r="A73" s="6" t="inlineStr">
        <is>
          <t>10.5</t>
        </is>
      </c>
      <c r="B73" s="7" t="n">
        <v>10</v>
      </c>
      <c r="C73" s="8" t="inlineStr">
        <is>
          <t>10. Admin System</t>
        </is>
      </c>
      <c r="D73" s="8" t="inlineStr">
        <is>
          <t>FX/Treasury rate management</t>
        </is>
      </c>
      <c r="E73" s="8" t="inlineStr">
        <is>
          <t>Manual rate entry &amp; history (P1).</t>
        </is>
      </c>
      <c r="F73" s="7" t="n">
        <v>1</v>
      </c>
      <c r="G73" s="8" t="inlineStr">
        <is>
          <t>Admin</t>
        </is>
      </c>
      <c r="H73" s="8" t="inlineStr">
        <is>
          <t>PRD-07, RATE-04</t>
        </is>
      </c>
      <c r="I73" s="9" t="n">
        <v>5</v>
      </c>
      <c r="J73" s="8" t="inlineStr">
        <is>
          <t>10.1,3.4</t>
        </is>
      </c>
      <c r="K73" s="8" t="inlineStr">
        <is>
          <t>Rate admin UI</t>
        </is>
      </c>
      <c r="L73" s="8" t="inlineStr">
        <is>
          <t>FS</t>
        </is>
      </c>
      <c r="M73" s="35" t="n">
        <v>25</v>
      </c>
      <c r="N73" s="35" t="n">
        <v>0</v>
      </c>
      <c r="O73" s="35" t="n">
        <v>1</v>
      </c>
      <c r="P73" s="35" t="n">
        <v>24</v>
      </c>
      <c r="Q73" s="35" t="inlineStr">
        <is>
          <t>0%</t>
        </is>
      </c>
      <c r="R73" s="36" t="inlineStr">
        <is>
          <t>IN PROGRESS</t>
        </is>
      </c>
      <c r="S73" s="35" t="inlineStr">
        <is>
          <t>R4</t>
        </is>
      </c>
    </row>
    <row r="74">
      <c r="A74" s="6" t="inlineStr">
        <is>
          <t>10.6</t>
        </is>
      </c>
      <c r="B74" s="7" t="n">
        <v>10</v>
      </c>
      <c r="C74" s="8" t="inlineStr">
        <is>
          <t>10. Admin System</t>
        </is>
      </c>
      <c r="D74" s="8" t="inlineStr">
        <is>
          <t>Transaction monitoring</t>
        </is>
      </c>
      <c r="E74" s="8" t="inlineStr">
        <is>
          <t>Search/filter, detail, 8-step trail, locked values.</t>
        </is>
      </c>
      <c r="F74" s="7" t="n">
        <v>2</v>
      </c>
      <c r="G74" s="8" t="inlineStr">
        <is>
          <t>Admin</t>
        </is>
      </c>
      <c r="H74" s="8" t="inlineStr">
        <is>
          <t>PRD-07</t>
        </is>
      </c>
      <c r="I74" s="9" t="n">
        <v>8</v>
      </c>
      <c r="J74" s="8" t="inlineStr">
        <is>
          <t>10.1,3.3</t>
        </is>
      </c>
      <c r="K74" s="8" t="inlineStr">
        <is>
          <t>Monitoring UI</t>
        </is>
      </c>
      <c r="L74" s="8" t="inlineStr">
        <is>
          <t>FS</t>
        </is>
      </c>
      <c r="M74" s="35" t="n">
        <v>32</v>
      </c>
      <c r="N74" s="35" t="n">
        <v>0</v>
      </c>
      <c r="O74" s="35" t="n">
        <v>2</v>
      </c>
      <c r="P74" s="35" t="n">
        <v>30</v>
      </c>
      <c r="Q74" s="35" t="inlineStr">
        <is>
          <t>0%</t>
        </is>
      </c>
      <c r="R74" s="36" t="inlineStr">
        <is>
          <t>IN PROGRESS</t>
        </is>
      </c>
      <c r="S74" s="35" t="inlineStr">
        <is>
          <t>R4</t>
        </is>
      </c>
    </row>
    <row r="75">
      <c r="A75" s="6" t="inlineStr">
        <is>
          <t>10.7</t>
        </is>
      </c>
      <c r="B75" s="7" t="n">
        <v>10</v>
      </c>
      <c r="C75" s="8" t="inlineStr">
        <is>
          <t>10. Admin System</t>
        </is>
      </c>
      <c r="D75" s="8" t="inlineStr">
        <is>
          <t>Prefunding management UI</t>
        </is>
      </c>
      <c r="E75" s="8" t="inlineStr">
        <is>
          <t>Balances, top-ups, ledger, alerts.</t>
        </is>
      </c>
      <c r="F75" s="7" t="n">
        <v>2</v>
      </c>
      <c r="G75" s="8" t="inlineStr">
        <is>
          <t>Admin</t>
        </is>
      </c>
      <c r="H75" s="8" t="inlineStr">
        <is>
          <t>PRD-07</t>
        </is>
      </c>
      <c r="I75" s="9" t="n">
        <v>5</v>
      </c>
      <c r="J75" s="8" t="inlineStr">
        <is>
          <t>10.1,6.1</t>
        </is>
      </c>
      <c r="K75" s="8" t="inlineStr">
        <is>
          <t>Prefund UI</t>
        </is>
      </c>
      <c r="L75" s="8" t="inlineStr">
        <is>
          <t>FS</t>
        </is>
      </c>
      <c r="M75" s="35" t="n">
        <v>29</v>
      </c>
      <c r="N75" s="35" t="n">
        <v>0</v>
      </c>
      <c r="O75" s="35" t="n">
        <v>0</v>
      </c>
      <c r="P75" s="35" t="n">
        <v>29</v>
      </c>
      <c r="Q75" s="35" t="inlineStr">
        <is>
          <t>0%</t>
        </is>
      </c>
      <c r="R75" s="37" t="inlineStr">
        <is>
          <t>NOT STARTED</t>
        </is>
      </c>
      <c r="S75" s="35" t="inlineStr">
        <is>
          <t>R4</t>
        </is>
      </c>
    </row>
    <row r="76">
      <c r="A76" s="6" t="inlineStr">
        <is>
          <t>10.8</t>
        </is>
      </c>
      <c r="B76" s="7" t="n">
        <v>10</v>
      </c>
      <c r="C76" s="8" t="inlineStr">
        <is>
          <t>10. Admin System</t>
        </is>
      </c>
      <c r="D76" s="8" t="inlineStr">
        <is>
          <t>Refund/cancellation handling UI</t>
        </is>
      </c>
      <c r="E76" s="8" t="inlineStr">
        <is>
          <t>Admin-initiated refunds &amp; batch to scheme.</t>
        </is>
      </c>
      <c r="F76" s="7" t="n">
        <v>2</v>
      </c>
      <c r="G76" s="8" t="inlineStr">
        <is>
          <t>Admin</t>
        </is>
      </c>
      <c r="H76" s="8" t="inlineStr">
        <is>
          <t>PRD-07</t>
        </is>
      </c>
      <c r="I76" s="9" t="n">
        <v>5</v>
      </c>
      <c r="J76" s="8" t="inlineStr">
        <is>
          <t>10.1,9.5</t>
        </is>
      </c>
      <c r="K76" s="8" t="inlineStr">
        <is>
          <t>Refund UI</t>
        </is>
      </c>
      <c r="L76" s="8" t="inlineStr">
        <is>
          <t>FS</t>
        </is>
      </c>
      <c r="M76" s="35" t="n">
        <v>31</v>
      </c>
      <c r="N76" s="35" t="n">
        <v>0</v>
      </c>
      <c r="O76" s="35" t="n">
        <v>0</v>
      </c>
      <c r="P76" s="35" t="n">
        <v>31</v>
      </c>
      <c r="Q76" s="35" t="inlineStr">
        <is>
          <t>0%</t>
        </is>
      </c>
      <c r="R76" s="37" t="inlineStr">
        <is>
          <t>NOT STARTED</t>
        </is>
      </c>
      <c r="S76" s="35" t="inlineStr">
        <is>
          <t>R4</t>
        </is>
      </c>
    </row>
    <row r="77">
      <c r="A77" s="6" t="inlineStr">
        <is>
          <t>10.9</t>
        </is>
      </c>
      <c r="B77" s="7" t="n">
        <v>10</v>
      </c>
      <c r="C77" s="8" t="inlineStr">
        <is>
          <t>10. Admin System</t>
        </is>
      </c>
      <c r="D77" s="8" t="inlineStr">
        <is>
          <t>Settlement &amp; revenue dashboards</t>
        </is>
      </c>
      <c r="E77" s="8" t="inlineStr">
        <is>
          <t>Batches, net/gross, two revenue streams, exports.</t>
        </is>
      </c>
      <c r="F77" s="7" t="n">
        <v>2</v>
      </c>
      <c r="G77" s="8" t="inlineStr">
        <is>
          <t>Admin</t>
        </is>
      </c>
      <c r="H77" s="8" t="inlineStr">
        <is>
          <t>PRD-07</t>
        </is>
      </c>
      <c r="I77" s="9" t="n">
        <v>6</v>
      </c>
      <c r="J77" s="8" t="inlineStr">
        <is>
          <t>10.1,7.5</t>
        </is>
      </c>
      <c r="K77" s="8" t="inlineStr">
        <is>
          <t>Revenue UI</t>
        </is>
      </c>
      <c r="L77" s="8" t="inlineStr">
        <is>
          <t>FS</t>
        </is>
      </c>
      <c r="M77" s="35" t="n">
        <v>25</v>
      </c>
      <c r="N77" s="35" t="n">
        <v>0</v>
      </c>
      <c r="O77" s="35" t="n">
        <v>3</v>
      </c>
      <c r="P77" s="35" t="n">
        <v>22</v>
      </c>
      <c r="Q77" s="35" t="inlineStr">
        <is>
          <t>0%</t>
        </is>
      </c>
      <c r="R77" s="36" t="inlineStr">
        <is>
          <t>IN PROGRESS</t>
        </is>
      </c>
      <c r="S77" s="35" t="inlineStr">
        <is>
          <t>R4</t>
        </is>
      </c>
    </row>
    <row r="78">
      <c r="A78" s="6" t="inlineStr">
        <is>
          <t>10.10</t>
        </is>
      </c>
      <c r="B78" s="7" t="n">
        <v>10</v>
      </c>
      <c r="C78" s="8" t="inlineStr">
        <is>
          <t>10. Admin System</t>
        </is>
      </c>
      <c r="D78" s="8" t="inlineStr">
        <is>
          <t>User &amp; role management (RBAC)</t>
        </is>
      </c>
      <c r="E78" s="8" t="inlineStr">
        <is>
          <t>Roles, permission matrix administration.</t>
        </is>
      </c>
      <c r="F78" s="7" t="n">
        <v>1</v>
      </c>
      <c r="G78" s="8" t="inlineStr">
        <is>
          <t>Admin</t>
        </is>
      </c>
      <c r="H78" s="8" t="inlineStr">
        <is>
          <t>PRD-07, SEC-09</t>
        </is>
      </c>
      <c r="I78" s="9" t="n">
        <v>5</v>
      </c>
      <c r="J78" s="8" t="inlineStr">
        <is>
          <t>10.1,13.2</t>
        </is>
      </c>
      <c r="K78" s="8" t="inlineStr">
        <is>
          <t>RBAC UI</t>
        </is>
      </c>
      <c r="L78" s="8" t="inlineStr">
        <is>
          <t>FS</t>
        </is>
      </c>
      <c r="M78" s="35" t="n">
        <v>33</v>
      </c>
      <c r="N78" s="35" t="n">
        <v>0</v>
      </c>
      <c r="O78" s="35" t="n">
        <v>0</v>
      </c>
      <c r="P78" s="35" t="n">
        <v>33</v>
      </c>
      <c r="Q78" s="35" t="inlineStr">
        <is>
          <t>0%</t>
        </is>
      </c>
      <c r="R78" s="37" t="inlineStr">
        <is>
          <t>NOT STARTED</t>
        </is>
      </c>
      <c r="S78" s="35" t="inlineStr">
        <is>
          <t>R4</t>
        </is>
      </c>
    </row>
    <row r="79">
      <c r="A79" s="6" t="inlineStr">
        <is>
          <t>10.11</t>
        </is>
      </c>
      <c r="B79" s="7" t="n">
        <v>10</v>
      </c>
      <c r="C79" s="8" t="inlineStr">
        <is>
          <t>10. Admin System</t>
        </is>
      </c>
      <c r="D79" s="8" t="inlineStr">
        <is>
          <t>Audit log viewer</t>
        </is>
      </c>
      <c r="E79" s="8" t="inlineStr">
        <is>
          <t>Search/export immutable audit trail.</t>
        </is>
      </c>
      <c r="F79" s="7" t="n">
        <v>2</v>
      </c>
      <c r="G79" s="8" t="inlineStr">
        <is>
          <t>Admin</t>
        </is>
      </c>
      <c r="H79" s="8" t="inlineStr">
        <is>
          <t>PRD-07, SEC-09</t>
        </is>
      </c>
      <c r="I79" s="9" t="n">
        <v>4</v>
      </c>
      <c r="J79" s="8" t="inlineStr">
        <is>
          <t>10.1,3.6</t>
        </is>
      </c>
      <c r="K79" s="8" t="inlineStr">
        <is>
          <t>Audit UI</t>
        </is>
      </c>
      <c r="L79" s="8" t="inlineStr">
        <is>
          <t>FS</t>
        </is>
      </c>
      <c r="M79" s="35" t="n">
        <v>23</v>
      </c>
      <c r="N79" s="35" t="n">
        <v>0</v>
      </c>
      <c r="O79" s="35" t="n">
        <v>1</v>
      </c>
      <c r="P79" s="35" t="n">
        <v>22</v>
      </c>
      <c r="Q79" s="35" t="inlineStr">
        <is>
          <t>0%</t>
        </is>
      </c>
      <c r="R79" s="36" t="inlineStr">
        <is>
          <t>IN PROGRESS</t>
        </is>
      </c>
      <c r="S79" s="35" t="inlineStr">
        <is>
          <t>R4</t>
        </is>
      </c>
    </row>
    <row r="80">
      <c r="A80" s="2" t="inlineStr">
        <is>
          <t>11.1</t>
        </is>
      </c>
      <c r="B80" s="3" t="n">
        <v>11</v>
      </c>
      <c r="C80" s="4" t="inlineStr">
        <is>
          <t>11. Partner Portal</t>
        </is>
      </c>
      <c r="D80" s="4" t="inlineStr">
        <is>
          <t>Portal shell, scoped auth &amp; isolation</t>
        </is>
      </c>
      <c r="E80" s="4" t="inlineStr">
        <is>
          <t>Partner-scoped login; strict data isolation.</t>
        </is>
      </c>
      <c r="F80" s="3" t="n">
        <v>3</v>
      </c>
      <c r="G80" s="4" t="inlineStr">
        <is>
          <t>Portal</t>
        </is>
      </c>
      <c r="H80" s="4" t="inlineStr">
        <is>
          <t>PRD-08, SEC-09</t>
        </is>
      </c>
      <c r="I80" s="5" t="n">
        <v>6</v>
      </c>
      <c r="J80" s="4" t="inlineStr">
        <is>
          <t>12.1,13.2</t>
        </is>
      </c>
      <c r="K80" s="4" t="inlineStr">
        <is>
          <t>Portal shell</t>
        </is>
      </c>
      <c r="L80" s="4" t="inlineStr">
        <is>
          <t>FS</t>
        </is>
      </c>
      <c r="M80" s="35" t="n">
        <v>31</v>
      </c>
      <c r="N80" s="35" t="n">
        <v>0</v>
      </c>
      <c r="O80" s="35" t="n">
        <v>3</v>
      </c>
      <c r="P80" s="35" t="n">
        <v>28</v>
      </c>
      <c r="Q80" s="35" t="inlineStr">
        <is>
          <t>0%</t>
        </is>
      </c>
      <c r="R80" s="36" t="inlineStr">
        <is>
          <t>IN PROGRESS</t>
        </is>
      </c>
      <c r="S80" s="35" t="inlineStr">
        <is>
          <t>R4</t>
        </is>
      </c>
    </row>
    <row r="81">
      <c r="A81" s="2" t="inlineStr">
        <is>
          <t>11.2</t>
        </is>
      </c>
      <c r="B81" s="3" t="n">
        <v>11</v>
      </c>
      <c r="C81" s="4" t="inlineStr">
        <is>
          <t>11. Partner Portal</t>
        </is>
      </c>
      <c r="D81" s="4" t="inlineStr">
        <is>
          <t>Dashboard (balance/volume/alerts)</t>
        </is>
      </c>
      <c r="E81" s="4" t="inlineStr">
        <is>
          <t>Summary widgets incl. low-balance.</t>
        </is>
      </c>
      <c r="F81" s="3" t="n">
        <v>3</v>
      </c>
      <c r="G81" s="4" t="inlineStr">
        <is>
          <t>Portal</t>
        </is>
      </c>
      <c r="H81" s="4" t="inlineStr">
        <is>
          <t>PRD-08</t>
        </is>
      </c>
      <c r="I81" s="5" t="n">
        <v>4</v>
      </c>
      <c r="J81" s="4" t="inlineStr">
        <is>
          <t>11.1</t>
        </is>
      </c>
      <c r="K81" s="4" t="inlineStr">
        <is>
          <t>Dashboard</t>
        </is>
      </c>
      <c r="L81" s="4" t="inlineStr">
        <is>
          <t>FS</t>
        </is>
      </c>
      <c r="M81" s="35" t="n">
        <v>30</v>
      </c>
      <c r="N81" s="35" t="n">
        <v>0</v>
      </c>
      <c r="O81" s="35" t="n">
        <v>2</v>
      </c>
      <c r="P81" s="35" t="n">
        <v>28</v>
      </c>
      <c r="Q81" s="35" t="inlineStr">
        <is>
          <t>0%</t>
        </is>
      </c>
      <c r="R81" s="36" t="inlineStr">
        <is>
          <t>IN PROGRESS</t>
        </is>
      </c>
      <c r="S81" s="35" t="inlineStr">
        <is>
          <t>R4</t>
        </is>
      </c>
    </row>
    <row r="82">
      <c r="A82" s="2" t="inlineStr">
        <is>
          <t>11.3</t>
        </is>
      </c>
      <c r="B82" s="3" t="n">
        <v>11</v>
      </c>
      <c r="C82" s="4" t="inlineStr">
        <is>
          <t>11. Partner Portal</t>
        </is>
      </c>
      <c r="D82" s="4" t="inlineStr">
        <is>
          <t>Transaction history (filter/export)</t>
        </is>
      </c>
      <c r="E82" s="4" t="inlineStr">
        <is>
          <t>Filterable list with CSV export.</t>
        </is>
      </c>
      <c r="F82" s="3" t="n">
        <v>3</v>
      </c>
      <c r="G82" s="4" t="inlineStr">
        <is>
          <t>Portal</t>
        </is>
      </c>
      <c r="H82" s="4" t="inlineStr">
        <is>
          <t>PRD-08</t>
        </is>
      </c>
      <c r="I82" s="5" t="n">
        <v>5</v>
      </c>
      <c r="J82" s="4" t="inlineStr">
        <is>
          <t>11.1,3.3</t>
        </is>
      </c>
      <c r="K82" s="4" t="inlineStr">
        <is>
          <t>History view</t>
        </is>
      </c>
      <c r="L82" s="4" t="inlineStr">
        <is>
          <t>FS</t>
        </is>
      </c>
      <c r="M82" s="35" t="n">
        <v>32</v>
      </c>
      <c r="N82" s="35" t="n">
        <v>0</v>
      </c>
      <c r="O82" s="35" t="n">
        <v>4</v>
      </c>
      <c r="P82" s="35" t="n">
        <v>28</v>
      </c>
      <c r="Q82" s="35" t="inlineStr">
        <is>
          <t>0%</t>
        </is>
      </c>
      <c r="R82" s="36" t="inlineStr">
        <is>
          <t>IN PROGRESS</t>
        </is>
      </c>
      <c r="S82" s="35" t="inlineStr">
        <is>
          <t>R4</t>
        </is>
      </c>
    </row>
    <row r="83">
      <c r="A83" s="2" t="inlineStr">
        <is>
          <t>11.4</t>
        </is>
      </c>
      <c r="B83" s="3" t="n">
        <v>11</v>
      </c>
      <c r="C83" s="4" t="inlineStr">
        <is>
          <t>11. Partner Portal</t>
        </is>
      </c>
      <c r="D83" s="4" t="inlineStr">
        <is>
          <t>Transaction detail view</t>
        </is>
      </c>
      <c r="E83" s="4" t="inlineStr">
        <is>
          <t>Full detail incl. rates &amp; locked values.</t>
        </is>
      </c>
      <c r="F83" s="3" t="n">
        <v>3</v>
      </c>
      <c r="G83" s="4" t="inlineStr">
        <is>
          <t>Portal</t>
        </is>
      </c>
      <c r="H83" s="4" t="inlineStr">
        <is>
          <t>PRD-08</t>
        </is>
      </c>
      <c r="I83" s="5" t="n">
        <v>4</v>
      </c>
      <c r="J83" s="4" t="inlineStr">
        <is>
          <t>11.3</t>
        </is>
      </c>
      <c r="K83" s="4" t="inlineStr">
        <is>
          <t>Detail view</t>
        </is>
      </c>
      <c r="L83" s="4" t="inlineStr">
        <is>
          <t>FS</t>
        </is>
      </c>
      <c r="M83" s="35" t="n">
        <v>28</v>
      </c>
      <c r="N83" s="35" t="n">
        <v>0</v>
      </c>
      <c r="O83" s="35" t="n">
        <v>3</v>
      </c>
      <c r="P83" s="35" t="n">
        <v>25</v>
      </c>
      <c r="Q83" s="35" t="inlineStr">
        <is>
          <t>0%</t>
        </is>
      </c>
      <c r="R83" s="36" t="inlineStr">
        <is>
          <t>IN PROGRESS</t>
        </is>
      </c>
      <c r="S83" s="35" t="inlineStr">
        <is>
          <t>R4</t>
        </is>
      </c>
    </row>
    <row r="84">
      <c r="A84" s="2" t="inlineStr">
        <is>
          <t>11.5</t>
        </is>
      </c>
      <c r="B84" s="3" t="n">
        <v>11</v>
      </c>
      <c r="C84" s="4" t="inlineStr">
        <is>
          <t>11. Partner Portal</t>
        </is>
      </c>
      <c r="D84" s="4" t="inlineStr">
        <is>
          <t>Prefunding/balance &amp; statements</t>
        </is>
      </c>
      <c r="E84" s="4" t="inlineStr">
        <is>
          <t>Balance, ledger, downloadable statements.</t>
        </is>
      </c>
      <c r="F84" s="3" t="n">
        <v>3</v>
      </c>
      <c r="G84" s="4" t="inlineStr">
        <is>
          <t>Portal</t>
        </is>
      </c>
      <c r="H84" s="4" t="inlineStr">
        <is>
          <t>PRD-08</t>
        </is>
      </c>
      <c r="I84" s="5" t="n">
        <v>4</v>
      </c>
      <c r="J84" s="4" t="inlineStr">
        <is>
          <t>11.1,6.1</t>
        </is>
      </c>
      <c r="K84" s="4" t="inlineStr">
        <is>
          <t>Statements</t>
        </is>
      </c>
      <c r="L84" s="4" t="inlineStr">
        <is>
          <t>FS</t>
        </is>
      </c>
      <c r="M84" s="35" t="n">
        <v>30</v>
      </c>
      <c r="N84" s="35" t="n">
        <v>0</v>
      </c>
      <c r="O84" s="35" t="n">
        <v>0</v>
      </c>
      <c r="P84" s="35" t="n">
        <v>30</v>
      </c>
      <c r="Q84" s="35" t="inlineStr">
        <is>
          <t>0%</t>
        </is>
      </c>
      <c r="R84" s="37" t="inlineStr">
        <is>
          <t>NOT STARTED</t>
        </is>
      </c>
      <c r="S84" s="35" t="inlineStr">
        <is>
          <t>R4</t>
        </is>
      </c>
    </row>
    <row r="85">
      <c r="A85" s="2" t="inlineStr">
        <is>
          <t>11.6</t>
        </is>
      </c>
      <c r="B85" s="3" t="n">
        <v>11</v>
      </c>
      <c r="C85" s="4" t="inlineStr">
        <is>
          <t>11. Partner Portal</t>
        </is>
      </c>
      <c r="D85" s="4" t="inlineStr">
        <is>
          <t>API &amp; credentials view</t>
        </is>
      </c>
      <c r="E85" s="4" t="inlineStr">
        <is>
          <t>View key id, webhook status, sandbox info.</t>
        </is>
      </c>
      <c r="F85" s="3" t="n">
        <v>3</v>
      </c>
      <c r="G85" s="4" t="inlineStr">
        <is>
          <t>Portal</t>
        </is>
      </c>
      <c r="H85" s="4" t="inlineStr">
        <is>
          <t>PRD-08, API-05</t>
        </is>
      </c>
      <c r="I85" s="5" t="n">
        <v>3</v>
      </c>
      <c r="J85" s="4" t="inlineStr">
        <is>
          <t>11.1,8.2</t>
        </is>
      </c>
      <c r="K85" s="4" t="inlineStr">
        <is>
          <t>Creds view</t>
        </is>
      </c>
      <c r="L85" s="4" t="inlineStr">
        <is>
          <t>FS</t>
        </is>
      </c>
      <c r="M85" s="35" t="n">
        <v>24</v>
      </c>
      <c r="N85" s="35" t="n">
        <v>0</v>
      </c>
      <c r="O85" s="35" t="n">
        <v>5</v>
      </c>
      <c r="P85" s="35" t="n">
        <v>19</v>
      </c>
      <c r="Q85" s="35" t="inlineStr">
        <is>
          <t>0%</t>
        </is>
      </c>
      <c r="R85" s="36" t="inlineStr">
        <is>
          <t>IN PROGRESS</t>
        </is>
      </c>
      <c r="S85" s="35" t="inlineStr">
        <is>
          <t>R4</t>
        </is>
      </c>
    </row>
    <row r="86">
      <c r="A86" s="2" t="inlineStr">
        <is>
          <t>11.7</t>
        </is>
      </c>
      <c r="B86" s="3" t="n">
        <v>11</v>
      </c>
      <c r="C86" s="4" t="inlineStr">
        <is>
          <t>11. Partner Portal</t>
        </is>
      </c>
      <c r="D86" s="4" t="inlineStr">
        <is>
          <t>Notifications (in-portal + email)</t>
        </is>
      </c>
      <c r="E86" s="4" t="inlineStr">
        <is>
          <t>Low balance, settlement complete.</t>
        </is>
      </c>
      <c r="F86" s="3" t="n">
        <v>3</v>
      </c>
      <c r="G86" s="4" t="inlineStr">
        <is>
          <t>Portal</t>
        </is>
      </c>
      <c r="H86" s="4" t="inlineStr">
        <is>
          <t>PRD-08</t>
        </is>
      </c>
      <c r="I86" s="5" t="n">
        <v>3</v>
      </c>
      <c r="J86" s="4" t="inlineStr">
        <is>
          <t>11.1</t>
        </is>
      </c>
      <c r="K86" s="4" t="inlineStr">
        <is>
          <t>Notifications</t>
        </is>
      </c>
      <c r="L86" s="4" t="inlineStr">
        <is>
          <t>FS</t>
        </is>
      </c>
      <c r="M86" s="35" t="n">
        <v>27</v>
      </c>
      <c r="N86" s="35" t="n">
        <v>0</v>
      </c>
      <c r="O86" s="35" t="n">
        <v>0</v>
      </c>
      <c r="P86" s="35" t="n">
        <v>27</v>
      </c>
      <c r="Q86" s="35" t="inlineStr">
        <is>
          <t>0%</t>
        </is>
      </c>
      <c r="R86" s="37" t="inlineStr">
        <is>
          <t>NOT STARTED</t>
        </is>
      </c>
      <c r="S86" s="35" t="inlineStr">
        <is>
          <t>R4</t>
        </is>
      </c>
    </row>
    <row r="87">
      <c r="A87" s="6" t="inlineStr">
        <is>
          <t>12.1</t>
        </is>
      </c>
      <c r="B87" s="7" t="n">
        <v>12</v>
      </c>
      <c r="C87" s="8" t="inlineStr">
        <is>
          <t>12. UX/UI &amp; Frontend Foundation</t>
        </is>
      </c>
      <c r="D87" s="8" t="inlineStr">
        <is>
          <t>Design system &amp; component library</t>
        </is>
      </c>
      <c r="E87" s="8" t="inlineStr">
        <is>
          <t>Tokens, components, status badges, money formatting.</t>
        </is>
      </c>
      <c r="F87" s="7" t="n">
        <v>1</v>
      </c>
      <c r="G87" s="8" t="inlineStr">
        <is>
          <t>Cross-cutting</t>
        </is>
      </c>
      <c r="H87" s="8" t="inlineStr">
        <is>
          <t>UX-11</t>
        </is>
      </c>
      <c r="I87" s="9" t="n">
        <v>8</v>
      </c>
      <c r="J87" s="8" t="inlineStr">
        <is>
          <t>1.4</t>
        </is>
      </c>
      <c r="K87" s="8" t="inlineStr">
        <is>
          <t>Design system</t>
        </is>
      </c>
      <c r="L87" s="8" t="inlineStr">
        <is>
          <t>UX</t>
        </is>
      </c>
      <c r="M87" s="35" t="n">
        <v>35</v>
      </c>
      <c r="N87" s="35" t="n">
        <v>0</v>
      </c>
      <c r="O87" s="35" t="n">
        <v>15</v>
      </c>
      <c r="P87" s="35" t="n">
        <v>20</v>
      </c>
      <c r="Q87" s="35" t="inlineStr">
        <is>
          <t>0%</t>
        </is>
      </c>
      <c r="R87" s="36" t="inlineStr">
        <is>
          <t>IN PROGRESS</t>
        </is>
      </c>
      <c r="S87" s="35" t="inlineStr">
        <is>
          <t>R4</t>
        </is>
      </c>
    </row>
    <row r="88">
      <c r="A88" s="6" t="inlineStr">
        <is>
          <t>12.2</t>
        </is>
      </c>
      <c r="B88" s="7" t="n">
        <v>12</v>
      </c>
      <c r="C88" s="8" t="inlineStr">
        <is>
          <t>12. UX/UI &amp; Frontend Foundation</t>
        </is>
      </c>
      <c r="D88" s="8" t="inlineStr">
        <is>
          <t>Admin screens: wireframe→hi-fi</t>
        </is>
      </c>
      <c r="E88" s="8" t="inlineStr">
        <is>
          <t>Designs for all Admin modules incl. mapping page.</t>
        </is>
      </c>
      <c r="F88" s="7" t="n">
        <v>1</v>
      </c>
      <c r="G88" s="8" t="inlineStr">
        <is>
          <t>Admin</t>
        </is>
      </c>
      <c r="H88" s="8" t="inlineStr">
        <is>
          <t>UX-11, PRD-07</t>
        </is>
      </c>
      <c r="I88" s="9" t="n">
        <v>8</v>
      </c>
      <c r="J88" s="8" t="inlineStr">
        <is>
          <t>12.1</t>
        </is>
      </c>
      <c r="K88" s="8" t="inlineStr">
        <is>
          <t>Admin designs</t>
        </is>
      </c>
      <c r="L88" s="8" t="inlineStr">
        <is>
          <t>UX</t>
        </is>
      </c>
      <c r="M88" s="35" t="n">
        <v>42</v>
      </c>
      <c r="N88" s="35" t="n">
        <v>0</v>
      </c>
      <c r="O88" s="35" t="n">
        <v>13</v>
      </c>
      <c r="P88" s="35" t="n">
        <v>29</v>
      </c>
      <c r="Q88" s="35" t="inlineStr">
        <is>
          <t>0%</t>
        </is>
      </c>
      <c r="R88" s="36" t="inlineStr">
        <is>
          <t>IN PROGRESS</t>
        </is>
      </c>
      <c r="S88" s="35" t="inlineStr">
        <is>
          <t>R4</t>
        </is>
      </c>
    </row>
    <row r="89">
      <c r="A89" s="6" t="inlineStr">
        <is>
          <t>12.3</t>
        </is>
      </c>
      <c r="B89" s="7" t="n">
        <v>12</v>
      </c>
      <c r="C89" s="8" t="inlineStr">
        <is>
          <t>12. UX/UI &amp; Frontend Foundation</t>
        </is>
      </c>
      <c r="D89" s="8" t="inlineStr">
        <is>
          <t>Portal screens: wireframe→hi-fi</t>
        </is>
      </c>
      <c r="E89" s="8" t="inlineStr">
        <is>
          <t>Designs for Partner Portal screens.</t>
        </is>
      </c>
      <c r="F89" s="7" t="n">
        <v>3</v>
      </c>
      <c r="G89" s="8" t="inlineStr">
        <is>
          <t>Portal</t>
        </is>
      </c>
      <c r="H89" s="8" t="inlineStr">
        <is>
          <t>UX-11, PRD-08</t>
        </is>
      </c>
      <c r="I89" s="9" t="n">
        <v>5</v>
      </c>
      <c r="J89" s="8" t="inlineStr">
        <is>
          <t>12.1</t>
        </is>
      </c>
      <c r="K89" s="8" t="inlineStr">
        <is>
          <t>Portal designs</t>
        </is>
      </c>
      <c r="L89" s="8" t="inlineStr">
        <is>
          <t>UX</t>
        </is>
      </c>
      <c r="M89" s="35" t="n">
        <v>38</v>
      </c>
      <c r="N89" s="35" t="n">
        <v>0</v>
      </c>
      <c r="O89" s="35" t="n">
        <v>14</v>
      </c>
      <c r="P89" s="35" t="n">
        <v>24</v>
      </c>
      <c r="Q89" s="35" t="inlineStr">
        <is>
          <t>0%</t>
        </is>
      </c>
      <c r="R89" s="36" t="inlineStr">
        <is>
          <t>IN PROGRESS</t>
        </is>
      </c>
      <c r="S89" s="35" t="inlineStr">
        <is>
          <t>R4</t>
        </is>
      </c>
    </row>
    <row r="90">
      <c r="A90" s="6" t="inlineStr">
        <is>
          <t>12.4</t>
        </is>
      </c>
      <c r="B90" s="7" t="n">
        <v>12</v>
      </c>
      <c r="C90" s="8" t="inlineStr">
        <is>
          <t>12. UX/UI &amp; Frontend Foundation</t>
        </is>
      </c>
      <c r="D90" s="8" t="inlineStr">
        <is>
          <t>Money/margin input components</t>
        </is>
      </c>
      <c r="E90" s="8" t="inlineStr">
        <is>
          <t>Validated inputs (e.g. m_a+m_b≥2%).</t>
        </is>
      </c>
      <c r="F90" s="7" t="n">
        <v>1</v>
      </c>
      <c r="G90" s="8" t="inlineStr">
        <is>
          <t>Cross-cutting</t>
        </is>
      </c>
      <c r="H90" s="8" t="inlineStr">
        <is>
          <t>UX-11, RATE-04</t>
        </is>
      </c>
      <c r="I90" s="9" t="n">
        <v>4</v>
      </c>
      <c r="J90" s="8" t="inlineStr">
        <is>
          <t>12.1</t>
        </is>
      </c>
      <c r="K90" s="8" t="inlineStr">
        <is>
          <t>Input components</t>
        </is>
      </c>
      <c r="L90" s="8" t="inlineStr">
        <is>
          <t>FE</t>
        </is>
      </c>
      <c r="M90" s="35" t="n">
        <v>23</v>
      </c>
      <c r="N90" s="35" t="n">
        <v>0</v>
      </c>
      <c r="O90" s="35" t="n">
        <v>0</v>
      </c>
      <c r="P90" s="35" t="n">
        <v>23</v>
      </c>
      <c r="Q90" s="35" t="inlineStr">
        <is>
          <t>0%</t>
        </is>
      </c>
      <c r="R90" s="37" t="inlineStr">
        <is>
          <t>NOT STARTED</t>
        </is>
      </c>
      <c r="S90" s="35" t="inlineStr">
        <is>
          <t>R4</t>
        </is>
      </c>
    </row>
    <row r="91">
      <c r="A91" s="6" t="inlineStr">
        <is>
          <t>12.5</t>
        </is>
      </c>
      <c r="B91" s="7" t="n">
        <v>12</v>
      </c>
      <c r="C91" s="8" t="inlineStr">
        <is>
          <t>12. UX/UI &amp; Frontend Foundation</t>
        </is>
      </c>
      <c r="D91" s="8" t="inlineStr">
        <is>
          <t>Accessibility (WCAG AA) &amp; i18n</t>
        </is>
      </c>
      <c r="E91" s="8" t="inlineStr">
        <is>
          <t>KO/EN, responsive, accessible.</t>
        </is>
      </c>
      <c r="F91" s="7" t="n">
        <v>2</v>
      </c>
      <c r="G91" s="8" t="inlineStr">
        <is>
          <t>Cross-cutting</t>
        </is>
      </c>
      <c r="H91" s="8" t="inlineStr">
        <is>
          <t>UX-11, NFR-10</t>
        </is>
      </c>
      <c r="I91" s="9" t="n">
        <v>5</v>
      </c>
      <c r="J91" s="8" t="inlineStr">
        <is>
          <t>12.1</t>
        </is>
      </c>
      <c r="K91" s="8" t="inlineStr">
        <is>
          <t>A11y/i18n pass</t>
        </is>
      </c>
      <c r="L91" s="8" t="inlineStr">
        <is>
          <t>FE</t>
        </is>
      </c>
      <c r="M91" s="35" t="n">
        <v>31</v>
      </c>
      <c r="N91" s="35" t="n">
        <v>0</v>
      </c>
      <c r="O91" s="35" t="n">
        <v>3</v>
      </c>
      <c r="P91" s="35" t="n">
        <v>28</v>
      </c>
      <c r="Q91" s="35" t="inlineStr">
        <is>
          <t>0%</t>
        </is>
      </c>
      <c r="R91" s="36" t="inlineStr">
        <is>
          <t>IN PROGRESS</t>
        </is>
      </c>
      <c r="S91" s="35" t="inlineStr">
        <is>
          <t>R4</t>
        </is>
      </c>
    </row>
    <row r="92">
      <c r="A92" s="2" t="inlineStr">
        <is>
          <t>13.1</t>
        </is>
      </c>
      <c r="B92" s="3" t="n">
        <v>13</v>
      </c>
      <c r="C92" s="4" t="inlineStr">
        <is>
          <t>13. Security &amp; Compliance</t>
        </is>
      </c>
      <c r="D92" s="4" t="inlineStr">
        <is>
          <t>Security architecture &amp; secrets/encryption</t>
        </is>
      </c>
      <c r="E92" s="4" t="inlineStr">
        <is>
          <t>Zones, secrets mgmt, TLS/mTLS, at-rest encryption.</t>
        </is>
      </c>
      <c r="F92" s="3" t="n">
        <v>1</v>
      </c>
      <c r="G92" s="4" t="inlineStr">
        <is>
          <t>Cross-cutting</t>
        </is>
      </c>
      <c r="H92" s="4" t="inlineStr">
        <is>
          <t>SEC-09</t>
        </is>
      </c>
      <c r="I92" s="5" t="n">
        <v>6</v>
      </c>
      <c r="J92" s="4" t="inlineStr">
        <is>
          <t>2.1</t>
        </is>
      </c>
      <c r="K92" s="4" t="inlineStr">
        <is>
          <t>Security baseline</t>
        </is>
      </c>
      <c r="L92" s="4" t="inlineStr">
        <is>
          <t>Sec</t>
        </is>
      </c>
      <c r="M92" s="35" t="n">
        <v>32</v>
      </c>
      <c r="N92" s="35" t="n">
        <v>1</v>
      </c>
      <c r="O92" s="35" t="n">
        <v>1</v>
      </c>
      <c r="P92" s="35" t="n">
        <v>30</v>
      </c>
      <c r="Q92" s="35" t="inlineStr">
        <is>
          <t>3%</t>
        </is>
      </c>
      <c r="R92" s="36" t="inlineStr">
        <is>
          <t>IN PROGRESS</t>
        </is>
      </c>
      <c r="S92" s="35" t="inlineStr">
        <is>
          <t>R3</t>
        </is>
      </c>
    </row>
    <row r="93">
      <c r="A93" s="2" t="inlineStr">
        <is>
          <t>13.2</t>
        </is>
      </c>
      <c r="B93" s="3" t="n">
        <v>13</v>
      </c>
      <c r="C93" s="4" t="inlineStr">
        <is>
          <t>13. Security &amp; Compliance</t>
        </is>
      </c>
      <c r="D93" s="4" t="inlineStr">
        <is>
          <t>RBAC model &amp; permission matrix</t>
        </is>
      </c>
      <c r="E93" s="4" t="inlineStr">
        <is>
          <t>Roles × capabilities for Admin &amp; Portal.</t>
        </is>
      </c>
      <c r="F93" s="3" t="n">
        <v>1</v>
      </c>
      <c r="G93" s="4" t="inlineStr">
        <is>
          <t>Cross-cutting</t>
        </is>
      </c>
      <c r="H93" s="4" t="inlineStr">
        <is>
          <t>SEC-09, PRD-07</t>
        </is>
      </c>
      <c r="I93" s="5" t="n">
        <v>5</v>
      </c>
      <c r="J93" s="4" t="inlineStr">
        <is>
          <t>13.1</t>
        </is>
      </c>
      <c r="K93" s="4" t="inlineStr">
        <is>
          <t>RBAC model</t>
        </is>
      </c>
      <c r="L93" s="4" t="inlineStr">
        <is>
          <t>Sec</t>
        </is>
      </c>
      <c r="M93" s="35" t="n">
        <v>29</v>
      </c>
      <c r="N93" s="35" t="n">
        <v>0</v>
      </c>
      <c r="O93" s="35" t="n">
        <v>1</v>
      </c>
      <c r="P93" s="35" t="n">
        <v>28</v>
      </c>
      <c r="Q93" s="35" t="inlineStr">
        <is>
          <t>0%</t>
        </is>
      </c>
      <c r="R93" s="36" t="inlineStr">
        <is>
          <t>IN PROGRESS</t>
        </is>
      </c>
      <c r="S93" s="35" t="inlineStr">
        <is>
          <t>R3</t>
        </is>
      </c>
    </row>
    <row r="94">
      <c r="A94" s="2" t="inlineStr">
        <is>
          <t>13.3</t>
        </is>
      </c>
      <c r="B94" s="3" t="n">
        <v>13</v>
      </c>
      <c r="C94" s="4" t="inlineStr">
        <is>
          <t>13. Security &amp; Compliance</t>
        </is>
      </c>
      <c r="D94" s="4" t="inlineStr">
        <is>
          <t>Threat model (STRIDE) &amp; mitigations</t>
        </is>
      </c>
      <c r="E94" s="4" t="inlineStr">
        <is>
          <t>Key threats + mitigations register.</t>
        </is>
      </c>
      <c r="F94" s="3" t="n">
        <v>1</v>
      </c>
      <c r="G94" s="4" t="inlineStr">
        <is>
          <t>Cross-cutting</t>
        </is>
      </c>
      <c r="H94" s="4" t="inlineStr">
        <is>
          <t>SEC-09</t>
        </is>
      </c>
      <c r="I94" s="5" t="n">
        <v>4</v>
      </c>
      <c r="J94" s="4" t="inlineStr">
        <is>
          <t>13.1</t>
        </is>
      </c>
      <c r="K94" s="4" t="inlineStr">
        <is>
          <t>Threat model</t>
        </is>
      </c>
      <c r="L94" s="4" t="inlineStr">
        <is>
          <t>Sec</t>
        </is>
      </c>
      <c r="M94" s="35" t="n">
        <v>28</v>
      </c>
      <c r="N94" s="35" t="n">
        <v>2</v>
      </c>
      <c r="O94" s="35" t="n">
        <v>5</v>
      </c>
      <c r="P94" s="35" t="n">
        <v>21</v>
      </c>
      <c r="Q94" s="35" t="inlineStr">
        <is>
          <t>7%</t>
        </is>
      </c>
      <c r="R94" s="36" t="inlineStr">
        <is>
          <t>IN PROGRESS</t>
        </is>
      </c>
      <c r="S94" s="35" t="inlineStr">
        <is>
          <t>R3</t>
        </is>
      </c>
    </row>
    <row r="95">
      <c r="A95" s="2" t="inlineStr">
        <is>
          <t>13.4</t>
        </is>
      </c>
      <c r="B95" s="3" t="n">
        <v>13</v>
      </c>
      <c r="C95" s="4" t="inlineStr">
        <is>
          <t>13. Security &amp; Compliance</t>
        </is>
      </c>
      <c r="D95" s="4" t="inlineStr">
        <is>
          <t>App security: OWASP API Top 10</t>
        </is>
      </c>
      <c r="E95" s="4" t="inlineStr">
        <is>
          <t>Input validation, anti-fraud hooks, scanning.</t>
        </is>
      </c>
      <c r="F95" s="3" t="n">
        <v>2</v>
      </c>
      <c r="G95" s="4" t="inlineStr">
        <is>
          <t>Cross-cutting</t>
        </is>
      </c>
      <c r="H95" s="4" t="inlineStr">
        <is>
          <t>SEC-09</t>
        </is>
      </c>
      <c r="I95" s="5" t="n">
        <v>6</v>
      </c>
      <c r="J95" s="4" t="inlineStr">
        <is>
          <t>8.1</t>
        </is>
      </c>
      <c r="K95" s="4" t="inlineStr">
        <is>
          <t>Security controls</t>
        </is>
      </c>
      <c r="L95" s="4" t="inlineStr">
        <is>
          <t>Sec</t>
        </is>
      </c>
      <c r="M95" s="35" t="n">
        <v>33</v>
      </c>
      <c r="N95" s="35" t="n">
        <v>1</v>
      </c>
      <c r="O95" s="35" t="n">
        <v>3</v>
      </c>
      <c r="P95" s="35" t="n">
        <v>29</v>
      </c>
      <c r="Q95" s="35" t="inlineStr">
        <is>
          <t>3%</t>
        </is>
      </c>
      <c r="R95" s="36" t="inlineStr">
        <is>
          <t>IN PROGRESS</t>
        </is>
      </c>
      <c r="S95" s="35" t="inlineStr">
        <is>
          <t>R3</t>
        </is>
      </c>
    </row>
    <row r="96">
      <c r="A96" s="2" t="inlineStr">
        <is>
          <t>13.5</t>
        </is>
      </c>
      <c r="B96" s="3" t="n">
        <v>13</v>
      </c>
      <c r="C96" s="4" t="inlineStr">
        <is>
          <t>13. Security &amp; Compliance</t>
        </is>
      </c>
      <c r="D96" s="4" t="inlineStr">
        <is>
          <t>Audit/logging &amp; SIEM export</t>
        </is>
      </c>
      <c r="E96" s="4" t="inlineStr">
        <is>
          <t>Audit pipeline, retention, SIEM feed.</t>
        </is>
      </c>
      <c r="F96" s="3" t="n">
        <v>2</v>
      </c>
      <c r="G96" s="4" t="inlineStr">
        <is>
          <t>Cross-cutting</t>
        </is>
      </c>
      <c r="H96" s="4" t="inlineStr">
        <is>
          <t>SEC-09</t>
        </is>
      </c>
      <c r="I96" s="5" t="n">
        <v>5</v>
      </c>
      <c r="J96" s="4" t="inlineStr">
        <is>
          <t>3.6</t>
        </is>
      </c>
      <c r="K96" s="4" t="inlineStr">
        <is>
          <t>Audit pipeline</t>
        </is>
      </c>
      <c r="L96" s="4" t="inlineStr">
        <is>
          <t>Sec</t>
        </is>
      </c>
      <c r="M96" s="35" t="n">
        <v>23</v>
      </c>
      <c r="N96" s="35" t="n">
        <v>0</v>
      </c>
      <c r="O96" s="35" t="n">
        <v>1</v>
      </c>
      <c r="P96" s="35" t="n">
        <v>22</v>
      </c>
      <c r="Q96" s="35" t="inlineStr">
        <is>
          <t>0%</t>
        </is>
      </c>
      <c r="R96" s="36" t="inlineStr">
        <is>
          <t>IN PROGRESS</t>
        </is>
      </c>
      <c r="S96" s="35" t="inlineStr">
        <is>
          <t>R3</t>
        </is>
      </c>
    </row>
    <row r="97">
      <c r="A97" s="2" t="inlineStr">
        <is>
          <t>13.6</t>
        </is>
      </c>
      <c r="B97" s="3" t="n">
        <v>13</v>
      </c>
      <c r="C97" s="4" t="inlineStr">
        <is>
          <t>13. Security &amp; Compliance</t>
        </is>
      </c>
      <c r="D97" s="4" t="inlineStr">
        <is>
          <t>Data privacy (PIPA) &amp; retention</t>
        </is>
      </c>
      <c r="E97" s="4" t="inlineStr">
        <is>
          <t>PII inventory, minimization, residency, retention.</t>
        </is>
      </c>
      <c r="F97" s="3" t="n">
        <v>2</v>
      </c>
      <c r="G97" s="4" t="inlineStr">
        <is>
          <t>Cross-cutting</t>
        </is>
      </c>
      <c r="H97" s="4" t="inlineStr">
        <is>
          <t>SEC-09</t>
        </is>
      </c>
      <c r="I97" s="5" t="n">
        <v>4</v>
      </c>
      <c r="J97" s="4" t="inlineStr">
        <is>
          <t>13.1</t>
        </is>
      </c>
      <c r="K97" s="4" t="inlineStr">
        <is>
          <t>Privacy controls</t>
        </is>
      </c>
      <c r="L97" s="4" t="inlineStr">
        <is>
          <t>Sec</t>
        </is>
      </c>
      <c r="M97" s="35" t="n">
        <v>23</v>
      </c>
      <c r="N97" s="35" t="n">
        <v>0</v>
      </c>
      <c r="O97" s="35" t="n">
        <v>0</v>
      </c>
      <c r="P97" s="35" t="n">
        <v>23</v>
      </c>
      <c r="Q97" s="35" t="inlineStr">
        <is>
          <t>0%</t>
        </is>
      </c>
      <c r="R97" s="37" t="inlineStr">
        <is>
          <t>NOT STARTED</t>
        </is>
      </c>
      <c r="S97" s="35" t="inlineStr">
        <is>
          <t>R3</t>
        </is>
      </c>
    </row>
    <row r="98">
      <c r="A98" s="2" t="inlineStr">
        <is>
          <t>13.7</t>
        </is>
      </c>
      <c r="B98" s="3" t="n">
        <v>13</v>
      </c>
      <c r="C98" s="4" t="inlineStr">
        <is>
          <t>13. Security &amp; Compliance</t>
        </is>
      </c>
      <c r="D98" s="4" t="inlineStr">
        <is>
          <t>BOK FX reporting capture</t>
        </is>
      </c>
      <c r="E98" s="4" t="inlineStr">
        <is>
          <t>Capture FX1014/FX1015 fields [OI-03 pending].</t>
        </is>
      </c>
      <c r="F98" s="3" t="n">
        <v>3</v>
      </c>
      <c r="G98" s="4" t="inlineStr">
        <is>
          <t>Cross-cutting</t>
        </is>
      </c>
      <c r="H98" s="4" t="inlineStr">
        <is>
          <t>SEC-09, RATE-04</t>
        </is>
      </c>
      <c r="I98" s="5" t="n">
        <v>6</v>
      </c>
      <c r="J98" s="4" t="inlineStr">
        <is>
          <t>4.4,1.2</t>
        </is>
      </c>
      <c r="K98" s="4" t="inlineStr">
        <is>
          <t>BOK data capture</t>
        </is>
      </c>
      <c r="L98" s="4" t="inlineStr">
        <is>
          <t>BE</t>
        </is>
      </c>
      <c r="M98" s="35" t="n">
        <v>28</v>
      </c>
      <c r="N98" s="35" t="n">
        <v>0</v>
      </c>
      <c r="O98" s="35" t="n">
        <v>5</v>
      </c>
      <c r="P98" s="35" t="n">
        <v>23</v>
      </c>
      <c r="Q98" s="35" t="inlineStr">
        <is>
          <t>0%</t>
        </is>
      </c>
      <c r="R98" s="36" t="inlineStr">
        <is>
          <t>IN PROGRESS</t>
        </is>
      </c>
      <c r="S98" s="35" t="inlineStr">
        <is>
          <t>R7</t>
        </is>
      </c>
    </row>
    <row r="99">
      <c r="A99" s="2" t="inlineStr">
        <is>
          <t>13.8</t>
        </is>
      </c>
      <c r="B99" s="3" t="n">
        <v>13</v>
      </c>
      <c r="C99" s="4" t="inlineStr">
        <is>
          <t>13. Security &amp; Compliance</t>
        </is>
      </c>
      <c r="D99" s="4" t="inlineStr">
        <is>
          <t>AML/KYC hooks &amp; monitoring</t>
        </is>
      </c>
      <c r="E99" s="4" t="inlineStr">
        <is>
          <t>Transaction monitoring/screening hooks (partner does KYC).</t>
        </is>
      </c>
      <c r="F99" s="3" t="n">
        <v>2</v>
      </c>
      <c r="G99" s="4" t="inlineStr">
        <is>
          <t>Cross-cutting</t>
        </is>
      </c>
      <c r="H99" s="4" t="inlineStr">
        <is>
          <t>SEC-09</t>
        </is>
      </c>
      <c r="I99" s="5" t="n">
        <v>5</v>
      </c>
      <c r="J99" s="4" t="inlineStr">
        <is>
          <t>5.1</t>
        </is>
      </c>
      <c r="K99" s="4" t="inlineStr">
        <is>
          <t>Monitoring hooks</t>
        </is>
      </c>
      <c r="L99" s="4" t="inlineStr">
        <is>
          <t>Sec</t>
        </is>
      </c>
      <c r="M99" s="35" t="n">
        <v>23</v>
      </c>
      <c r="N99" s="35" t="n">
        <v>0</v>
      </c>
      <c r="O99" s="35" t="n">
        <v>0</v>
      </c>
      <c r="P99" s="35" t="n">
        <v>23</v>
      </c>
      <c r="Q99" s="35" t="inlineStr">
        <is>
          <t>0%</t>
        </is>
      </c>
      <c r="R99" s="37" t="inlineStr">
        <is>
          <t>NOT STARTED</t>
        </is>
      </c>
      <c r="S99" s="35" t="inlineStr">
        <is>
          <t>R7</t>
        </is>
      </c>
    </row>
    <row r="100">
      <c r="A100" s="2" t="inlineStr">
        <is>
          <t>13.9</t>
        </is>
      </c>
      <c r="B100" s="3" t="n">
        <v>13</v>
      </c>
      <c r="C100" s="4" t="inlineStr">
        <is>
          <t>13. Security &amp; Compliance</t>
        </is>
      </c>
      <c r="D100" s="4" t="inlineStr">
        <is>
          <t>Credential lifecycle &amp; key rotation</t>
        </is>
      </c>
      <c r="E100" s="4" t="inlineStr">
        <is>
          <t>Issue/rotate/revoke partner &amp; SFTP keys.</t>
        </is>
      </c>
      <c r="F100" s="3" t="n">
        <v>2</v>
      </c>
      <c r="G100" s="4" t="inlineStr">
        <is>
          <t>Cross-cutting</t>
        </is>
      </c>
      <c r="H100" s="4" t="inlineStr">
        <is>
          <t>SEC-09</t>
        </is>
      </c>
      <c r="I100" s="5" t="n">
        <v>4</v>
      </c>
      <c r="J100" s="4" t="inlineStr">
        <is>
          <t>8.2,9.2</t>
        </is>
      </c>
      <c r="K100" s="4" t="inlineStr">
        <is>
          <t>Key lifecycle</t>
        </is>
      </c>
      <c r="L100" s="4" t="inlineStr">
        <is>
          <t>Sec</t>
        </is>
      </c>
      <c r="M100" s="35" t="n">
        <v>29</v>
      </c>
      <c r="N100" s="35" t="n">
        <v>0</v>
      </c>
      <c r="O100" s="35" t="n">
        <v>0</v>
      </c>
      <c r="P100" s="35" t="n">
        <v>29</v>
      </c>
      <c r="Q100" s="35" t="inlineStr">
        <is>
          <t>0%</t>
        </is>
      </c>
      <c r="R100" s="37" t="inlineStr">
        <is>
          <t>NOT STARTED</t>
        </is>
      </c>
      <c r="S100" s="35" t="inlineStr">
        <is>
          <t>R3</t>
        </is>
      </c>
    </row>
    <row r="101">
      <c r="A101" s="2" t="inlineStr">
        <is>
          <t>13.10</t>
        </is>
      </c>
      <c r="B101" s="3" t="n">
        <v>13</v>
      </c>
      <c r="C101" s="4" t="inlineStr">
        <is>
          <t>13. Security &amp; Compliance</t>
        </is>
      </c>
      <c r="D101" s="4" t="inlineStr">
        <is>
          <t>Security testing &amp; penetration test</t>
        </is>
      </c>
      <c r="E101" s="4" t="inlineStr">
        <is>
          <t>App/pen testing against SEC-09.</t>
        </is>
      </c>
      <c r="F101" s="3" t="n">
        <v>3</v>
      </c>
      <c r="G101" s="4" t="inlineStr">
        <is>
          <t>Cross-cutting</t>
        </is>
      </c>
      <c r="H101" s="4" t="inlineStr">
        <is>
          <t>SEC-09, QA-12</t>
        </is>
      </c>
      <c r="I101" s="5" t="n">
        <v>8</v>
      </c>
      <c r="J101" s="4" t="inlineStr">
        <is>
          <t>13.4</t>
        </is>
      </c>
      <c r="K101" s="4" t="inlineStr">
        <is>
          <t>Pen-test report</t>
        </is>
      </c>
      <c r="L101" s="4" t="inlineStr">
        <is>
          <t>Sec</t>
        </is>
      </c>
      <c r="M101" s="35" t="n">
        <v>36</v>
      </c>
      <c r="N101" s="35" t="n">
        <v>0</v>
      </c>
      <c r="O101" s="35" t="n">
        <v>1</v>
      </c>
      <c r="P101" s="35" t="n">
        <v>35</v>
      </c>
      <c r="Q101" s="35" t="inlineStr">
        <is>
          <t>0%</t>
        </is>
      </c>
      <c r="R101" s="36" t="inlineStr">
        <is>
          <t>IN PROGRESS</t>
        </is>
      </c>
      <c r="S101" s="35" t="inlineStr">
        <is>
          <t>R6</t>
        </is>
      </c>
    </row>
    <row r="102">
      <c r="A102" s="6" t="inlineStr">
        <is>
          <t>14.1</t>
        </is>
      </c>
      <c r="B102" s="7" t="n">
        <v>14</v>
      </c>
      <c r="C102" s="8" t="inlineStr">
        <is>
          <t>14. DevOps, Infrastructure &amp; Observability</t>
        </is>
      </c>
      <c r="D102" s="8" t="inlineStr">
        <is>
          <t>Environment provisioning</t>
        </is>
      </c>
      <c r="E102" s="8" t="inlineStr">
        <is>
          <t>dev/test/staging/prod incl. ZP test env access.</t>
        </is>
      </c>
      <c r="F102" s="7" t="n">
        <v>1</v>
      </c>
      <c r="G102" s="8" t="inlineStr">
        <is>
          <t>Infra</t>
        </is>
      </c>
      <c r="H102" s="8" t="inlineStr">
        <is>
          <t>OPS-13</t>
        </is>
      </c>
      <c r="I102" s="9" t="n">
        <v>8</v>
      </c>
      <c r="J102" s="8" t="inlineStr">
        <is>
          <t>1.1</t>
        </is>
      </c>
      <c r="K102" s="8" t="inlineStr">
        <is>
          <t>Environments</t>
        </is>
      </c>
      <c r="L102" s="8" t="inlineStr">
        <is>
          <t>DevOps</t>
        </is>
      </c>
      <c r="M102" s="35" t="n">
        <v>40</v>
      </c>
      <c r="N102" s="35" t="n">
        <v>0</v>
      </c>
      <c r="O102" s="35" t="n">
        <v>0</v>
      </c>
      <c r="P102" s="35" t="n">
        <v>40</v>
      </c>
      <c r="Q102" s="35" t="inlineStr">
        <is>
          <t>0%</t>
        </is>
      </c>
      <c r="R102" s="37" t="inlineStr">
        <is>
          <t>NOT STARTED</t>
        </is>
      </c>
      <c r="S102" s="35" t="inlineStr">
        <is>
          <t>R5</t>
        </is>
      </c>
    </row>
    <row r="103">
      <c r="A103" s="6" t="inlineStr">
        <is>
          <t>14.2</t>
        </is>
      </c>
      <c r="B103" s="7" t="n">
        <v>14</v>
      </c>
      <c r="C103" s="8" t="inlineStr">
        <is>
          <t>14. DevOps, Infrastructure &amp; Observability</t>
        </is>
      </c>
      <c r="D103" s="8" t="inlineStr">
        <is>
          <t>CI/CD pipeline</t>
        </is>
      </c>
      <c r="E103" s="8" t="inlineStr">
        <is>
          <t>Build/test/scan/deploy, gated promotion, rollback.</t>
        </is>
      </c>
      <c r="F103" s="7" t="n">
        <v>1</v>
      </c>
      <c r="G103" s="8" t="inlineStr">
        <is>
          <t>Infra</t>
        </is>
      </c>
      <c r="H103" s="8" t="inlineStr">
        <is>
          <t>OPS-13</t>
        </is>
      </c>
      <c r="I103" s="9" t="n">
        <v>8</v>
      </c>
      <c r="J103" s="8" t="inlineStr">
        <is>
          <t>2.3</t>
        </is>
      </c>
      <c r="K103" s="8" t="inlineStr">
        <is>
          <t>CI/CD</t>
        </is>
      </c>
      <c r="L103" s="8" t="inlineStr">
        <is>
          <t>DevOps</t>
        </is>
      </c>
      <c r="M103" s="35" t="n">
        <v>32</v>
      </c>
      <c r="N103" s="35" t="n">
        <v>0</v>
      </c>
      <c r="O103" s="35" t="n">
        <v>0</v>
      </c>
      <c r="P103" s="35" t="n">
        <v>32</v>
      </c>
      <c r="Q103" s="35" t="inlineStr">
        <is>
          <t>0%</t>
        </is>
      </c>
      <c r="R103" s="37" t="inlineStr">
        <is>
          <t>NOT STARTED</t>
        </is>
      </c>
      <c r="S103" s="35" t="inlineStr">
        <is>
          <t>R5</t>
        </is>
      </c>
    </row>
    <row r="104">
      <c r="A104" s="6" t="inlineStr">
        <is>
          <t>14.3</t>
        </is>
      </c>
      <c r="B104" s="7" t="n">
        <v>14</v>
      </c>
      <c r="C104" s="8" t="inlineStr">
        <is>
          <t>14. DevOps, Infrastructure &amp; Observability</t>
        </is>
      </c>
      <c r="D104" s="8" t="inlineStr">
        <is>
          <t>IaC &amp; networking/zones</t>
        </is>
      </c>
      <c r="E104" s="8" t="inlineStr">
        <is>
          <t>Infra-as-code, network zones (SEC-09).</t>
        </is>
      </c>
      <c r="F104" s="7" t="n">
        <v>1</v>
      </c>
      <c r="G104" s="8" t="inlineStr">
        <is>
          <t>Infra</t>
        </is>
      </c>
      <c r="H104" s="8" t="inlineStr">
        <is>
          <t>OPS-13, SEC-09</t>
        </is>
      </c>
      <c r="I104" s="9" t="n">
        <v>8</v>
      </c>
      <c r="J104" s="8" t="inlineStr">
        <is>
          <t>14.1</t>
        </is>
      </c>
      <c r="K104" s="8" t="inlineStr">
        <is>
          <t>IaC + network</t>
        </is>
      </c>
      <c r="L104" s="8" t="inlineStr">
        <is>
          <t>DevOps</t>
        </is>
      </c>
      <c r="M104" s="35" t="n">
        <v>29</v>
      </c>
      <c r="N104" s="35" t="n">
        <v>0</v>
      </c>
      <c r="O104" s="35" t="n">
        <v>0</v>
      </c>
      <c r="P104" s="35" t="n">
        <v>29</v>
      </c>
      <c r="Q104" s="35" t="inlineStr">
        <is>
          <t>0%</t>
        </is>
      </c>
      <c r="R104" s="37" t="inlineStr">
        <is>
          <t>NOT STARTED</t>
        </is>
      </c>
      <c r="S104" s="35" t="inlineStr">
        <is>
          <t>R5</t>
        </is>
      </c>
    </row>
    <row r="105">
      <c r="A105" s="6" t="inlineStr">
        <is>
          <t>14.4</t>
        </is>
      </c>
      <c r="B105" s="7" t="n">
        <v>14</v>
      </c>
      <c r="C105" s="8" t="inlineStr">
        <is>
          <t>14. DevOps, Infrastructure &amp; Observability</t>
        </is>
      </c>
      <c r="D105" s="8" t="inlineStr">
        <is>
          <t>Database HA, cache, queue</t>
        </is>
      </c>
      <c r="E105" s="8" t="inlineStr">
        <is>
          <t>Primary+replica, cache, message queue.</t>
        </is>
      </c>
      <c r="F105" s="7" t="n">
        <v>1</v>
      </c>
      <c r="G105" s="8" t="inlineStr">
        <is>
          <t>Infra</t>
        </is>
      </c>
      <c r="H105" s="8" t="inlineStr">
        <is>
          <t>OPS-13, NFR-10</t>
        </is>
      </c>
      <c r="I105" s="9" t="n">
        <v>6</v>
      </c>
      <c r="J105" s="8" t="inlineStr">
        <is>
          <t>14.3,3.1</t>
        </is>
      </c>
      <c r="K105" s="8" t="inlineStr">
        <is>
          <t>Data infra</t>
        </is>
      </c>
      <c r="L105" s="8" t="inlineStr">
        <is>
          <t>DevOps</t>
        </is>
      </c>
      <c r="M105" s="35" t="n">
        <v>33</v>
      </c>
      <c r="N105" s="35" t="n">
        <v>0</v>
      </c>
      <c r="O105" s="35" t="n">
        <v>0</v>
      </c>
      <c r="P105" s="35" t="n">
        <v>33</v>
      </c>
      <c r="Q105" s="35" t="inlineStr">
        <is>
          <t>0%</t>
        </is>
      </c>
      <c r="R105" s="37" t="inlineStr">
        <is>
          <t>NOT STARTED</t>
        </is>
      </c>
      <c r="S105" s="35" t="inlineStr">
        <is>
          <t>R5</t>
        </is>
      </c>
    </row>
    <row r="106">
      <c r="A106" s="6" t="inlineStr">
        <is>
          <t>14.5</t>
        </is>
      </c>
      <c r="B106" s="7" t="n">
        <v>14</v>
      </c>
      <c r="C106" s="8" t="inlineStr">
        <is>
          <t>14. DevOps, Infrastructure &amp; Observability</t>
        </is>
      </c>
      <c r="D106" s="8" t="inlineStr">
        <is>
          <t>Secrets manager &amp; config injection</t>
        </is>
      </c>
      <c r="E106" s="8" t="inlineStr">
        <is>
          <t>Centralized secrets; env config matrix.</t>
        </is>
      </c>
      <c r="F106" s="7" t="n">
        <v>1</v>
      </c>
      <c r="G106" s="8" t="inlineStr">
        <is>
          <t>Infra</t>
        </is>
      </c>
      <c r="H106" s="8" t="inlineStr">
        <is>
          <t>OPS-13, SEC-09</t>
        </is>
      </c>
      <c r="I106" s="9" t="n">
        <v>4</v>
      </c>
      <c r="J106" s="8" t="inlineStr">
        <is>
          <t>14.3</t>
        </is>
      </c>
      <c r="K106" s="8" t="inlineStr">
        <is>
          <t>Secrets mgmt</t>
        </is>
      </c>
      <c r="L106" s="8" t="inlineStr">
        <is>
          <t>DevOps</t>
        </is>
      </c>
      <c r="M106" s="35" t="n">
        <v>24</v>
      </c>
      <c r="N106" s="35" t="n">
        <v>0</v>
      </c>
      <c r="O106" s="35" t="n">
        <v>0</v>
      </c>
      <c r="P106" s="35" t="n">
        <v>24</v>
      </c>
      <c r="Q106" s="35" t="inlineStr">
        <is>
          <t>0%</t>
        </is>
      </c>
      <c r="R106" s="37" t="inlineStr">
        <is>
          <t>NOT STARTED</t>
        </is>
      </c>
      <c r="S106" s="35" t="inlineStr">
        <is>
          <t>R5</t>
        </is>
      </c>
    </row>
    <row r="107">
      <c r="A107" s="6" t="inlineStr">
        <is>
          <t>14.6</t>
        </is>
      </c>
      <c r="B107" s="7" t="n">
        <v>14</v>
      </c>
      <c r="C107" s="8" t="inlineStr">
        <is>
          <t>14. DevOps, Infrastructure &amp; Observability</t>
        </is>
      </c>
      <c r="D107" s="8" t="inlineStr">
        <is>
          <t>Observability: metrics/logs/tracing</t>
        </is>
      </c>
      <c r="E107" s="8" t="inlineStr">
        <is>
          <t>Dashboards, structured logs, tracing.</t>
        </is>
      </c>
      <c r="F107" s="7" t="n">
        <v>1</v>
      </c>
      <c r="G107" s="8" t="inlineStr">
        <is>
          <t>Infra</t>
        </is>
      </c>
      <c r="H107" s="8" t="inlineStr">
        <is>
          <t>OPS-13, NFR-10</t>
        </is>
      </c>
      <c r="I107" s="9" t="n">
        <v>8</v>
      </c>
      <c r="J107" s="8" t="inlineStr">
        <is>
          <t>14.2</t>
        </is>
      </c>
      <c r="K107" s="8" t="inlineStr">
        <is>
          <t>Observability</t>
        </is>
      </c>
      <c r="L107" s="8" t="inlineStr">
        <is>
          <t>DevOps</t>
        </is>
      </c>
      <c r="M107" s="35" t="n">
        <v>25</v>
      </c>
      <c r="N107" s="35" t="n">
        <v>0</v>
      </c>
      <c r="O107" s="35" t="n">
        <v>0</v>
      </c>
      <c r="P107" s="35" t="n">
        <v>25</v>
      </c>
      <c r="Q107" s="35" t="inlineStr">
        <is>
          <t>0%</t>
        </is>
      </c>
      <c r="R107" s="37" t="inlineStr">
        <is>
          <t>NOT STARTED</t>
        </is>
      </c>
      <c r="S107" s="35" t="inlineStr">
        <is>
          <t>R5</t>
        </is>
      </c>
    </row>
    <row r="108">
      <c r="A108" s="6" t="inlineStr">
        <is>
          <t>14.7</t>
        </is>
      </c>
      <c r="B108" s="7" t="n">
        <v>14</v>
      </c>
      <c r="C108" s="8" t="inlineStr">
        <is>
          <t>14. DevOps, Infrastructure &amp; Observability</t>
        </is>
      </c>
      <c r="D108" s="8" t="inlineStr">
        <is>
          <t>Alerting catalog</t>
        </is>
      </c>
      <c r="E108" s="8" t="inlineStr">
        <is>
          <t>SLOs, batch windows, pool-identity, prefund, webhooks.</t>
        </is>
      </c>
      <c r="F108" s="7" t="n">
        <v>2</v>
      </c>
      <c r="G108" s="8" t="inlineStr">
        <is>
          <t>Infra</t>
        </is>
      </c>
      <c r="H108" s="8" t="inlineStr">
        <is>
          <t>OPS-13</t>
        </is>
      </c>
      <c r="I108" s="9" t="n">
        <v>5</v>
      </c>
      <c r="J108" s="8" t="inlineStr">
        <is>
          <t>14.6</t>
        </is>
      </c>
      <c r="K108" s="8" t="inlineStr">
        <is>
          <t>Alert catalog</t>
        </is>
      </c>
      <c r="L108" s="8" t="inlineStr">
        <is>
          <t>DevOps</t>
        </is>
      </c>
      <c r="M108" s="35" t="n">
        <v>31</v>
      </c>
      <c r="N108" s="35" t="n">
        <v>0</v>
      </c>
      <c r="O108" s="35" t="n">
        <v>0</v>
      </c>
      <c r="P108" s="35" t="n">
        <v>31</v>
      </c>
      <c r="Q108" s="35" t="inlineStr">
        <is>
          <t>0%</t>
        </is>
      </c>
      <c r="R108" s="37" t="inlineStr">
        <is>
          <t>NOT STARTED</t>
        </is>
      </c>
      <c r="S108" s="35" t="inlineStr">
        <is>
          <t>R5</t>
        </is>
      </c>
    </row>
    <row r="109">
      <c r="A109" s="6" t="inlineStr">
        <is>
          <t>14.8</t>
        </is>
      </c>
      <c r="B109" s="7" t="n">
        <v>14</v>
      </c>
      <c r="C109" s="8" t="inlineStr">
        <is>
          <t>14. DevOps, Infrastructure &amp; Observability</t>
        </is>
      </c>
      <c r="D109" s="8" t="inlineStr">
        <is>
          <t>Backup &amp; DR (RTO/RPO) + drill</t>
        </is>
      </c>
      <c r="E109" s="8" t="inlineStr">
        <is>
          <t>Backups, failover, DR drill.</t>
        </is>
      </c>
      <c r="F109" s="7" t="n">
        <v>2</v>
      </c>
      <c r="G109" s="8" t="inlineStr">
        <is>
          <t>Infra</t>
        </is>
      </c>
      <c r="H109" s="8" t="inlineStr">
        <is>
          <t>OPS-13, NFR-10</t>
        </is>
      </c>
      <c r="I109" s="9" t="n">
        <v>6</v>
      </c>
      <c r="J109" s="8" t="inlineStr">
        <is>
          <t>14.4</t>
        </is>
      </c>
      <c r="K109" s="8" t="inlineStr">
        <is>
          <t>DR plan + drill</t>
        </is>
      </c>
      <c r="L109" s="8" t="inlineStr">
        <is>
          <t>DevOps</t>
        </is>
      </c>
      <c r="M109" s="35" t="n">
        <v>25</v>
      </c>
      <c r="N109" s="35" t="n">
        <v>0</v>
      </c>
      <c r="O109" s="35" t="n">
        <v>0</v>
      </c>
      <c r="P109" s="35" t="n">
        <v>25</v>
      </c>
      <c r="Q109" s="35" t="inlineStr">
        <is>
          <t>0%</t>
        </is>
      </c>
      <c r="R109" s="37" t="inlineStr">
        <is>
          <t>NOT STARTED</t>
        </is>
      </c>
      <c r="S109" s="35" t="inlineStr">
        <is>
          <t>R5</t>
        </is>
      </c>
    </row>
    <row r="110">
      <c r="A110" s="2" t="inlineStr">
        <is>
          <t>15.1</t>
        </is>
      </c>
      <c r="B110" s="3" t="n">
        <v>15</v>
      </c>
      <c r="C110" s="4" t="inlineStr">
        <is>
          <t>15. Quality Assurance &amp; Testing</t>
        </is>
      </c>
      <c r="D110" s="4" t="inlineStr">
        <is>
          <t>Test strategy, plan &amp; environments</t>
        </is>
      </c>
      <c r="E110" s="4" t="inlineStr">
        <is>
          <t>Levels, entry/exit criteria, environments.</t>
        </is>
      </c>
      <c r="F110" s="3" t="n">
        <v>1</v>
      </c>
      <c r="G110" s="4" t="inlineStr">
        <is>
          <t>Cross-cutting</t>
        </is>
      </c>
      <c r="H110" s="4" t="inlineStr">
        <is>
          <t>QA-12</t>
        </is>
      </c>
      <c r="I110" s="5" t="n">
        <v>5</v>
      </c>
      <c r="J110" s="4" t="inlineStr">
        <is>
          <t>1.3</t>
        </is>
      </c>
      <c r="K110" s="4" t="inlineStr">
        <is>
          <t>Test plan</t>
        </is>
      </c>
      <c r="L110" s="4" t="inlineStr">
        <is>
          <t>QA</t>
        </is>
      </c>
      <c r="M110" s="35" t="n">
        <v>44</v>
      </c>
      <c r="N110" s="35" t="n">
        <v>0</v>
      </c>
      <c r="O110" s="35" t="n">
        <v>6</v>
      </c>
      <c r="P110" s="35" t="n">
        <v>38</v>
      </c>
      <c r="Q110" s="35" t="inlineStr">
        <is>
          <t>0%</t>
        </is>
      </c>
      <c r="R110" s="36" t="inlineStr">
        <is>
          <t>IN PROGRESS</t>
        </is>
      </c>
      <c r="S110" s="35" t="inlineStr">
        <is>
          <t>R6</t>
        </is>
      </c>
    </row>
    <row r="111">
      <c r="A111" s="2" t="inlineStr">
        <is>
          <t>15.2</t>
        </is>
      </c>
      <c r="B111" s="3" t="n">
        <v>15</v>
      </c>
      <c r="C111" s="4" t="inlineStr">
        <is>
          <t>15. Quality Assurance &amp; Testing</t>
        </is>
      </c>
      <c r="D111" s="4" t="inlineStr">
        <is>
          <t>Test data management</t>
        </is>
      </c>
      <c r="E111" s="4" t="inlineStr">
        <is>
          <t>Synthetic partners/schemes/merchants/rates.</t>
        </is>
      </c>
      <c r="F111" s="3" t="n">
        <v>1</v>
      </c>
      <c r="G111" s="4" t="inlineStr">
        <is>
          <t>Cross-cutting</t>
        </is>
      </c>
      <c r="H111" s="4" t="inlineStr">
        <is>
          <t>QA-12</t>
        </is>
      </c>
      <c r="I111" s="5" t="n">
        <v>4</v>
      </c>
      <c r="J111" s="4" t="inlineStr">
        <is>
          <t>15.1</t>
        </is>
      </c>
      <c r="K111" s="4" t="inlineStr">
        <is>
          <t>Test data sets</t>
        </is>
      </c>
      <c r="L111" s="4" t="inlineStr">
        <is>
          <t>QA</t>
        </is>
      </c>
      <c r="M111" s="35" t="n">
        <v>34</v>
      </c>
      <c r="N111" s="35" t="n">
        <v>0</v>
      </c>
      <c r="O111" s="35" t="n">
        <v>4</v>
      </c>
      <c r="P111" s="35" t="n">
        <v>30</v>
      </c>
      <c r="Q111" s="35" t="inlineStr">
        <is>
          <t>0%</t>
        </is>
      </c>
      <c r="R111" s="36" t="inlineStr">
        <is>
          <t>IN PROGRESS</t>
        </is>
      </c>
      <c r="S111" s="35" t="inlineStr">
        <is>
          <t>R6</t>
        </is>
      </c>
    </row>
    <row r="112">
      <c r="A112" s="2" t="inlineStr">
        <is>
          <t>15.3</t>
        </is>
      </c>
      <c r="B112" s="3" t="n">
        <v>15</v>
      </c>
      <c r="C112" s="4" t="inlineStr">
        <is>
          <t>15. Quality Assurance &amp; Testing</t>
        </is>
      </c>
      <c r="D112" s="4" t="inlineStr">
        <is>
          <t>Rate-engine test vectors execution</t>
        </is>
      </c>
      <c r="E112" s="4" t="inlineStr">
        <is>
          <t>Run RV-01..RV-10; verify identity &amp; rounding.</t>
        </is>
      </c>
      <c r="F112" s="3" t="n">
        <v>1</v>
      </c>
      <c r="G112" s="4" t="inlineStr">
        <is>
          <t>Hub Core</t>
        </is>
      </c>
      <c r="H112" s="4" t="inlineStr">
        <is>
          <t>QA-12, RATE-04</t>
        </is>
      </c>
      <c r="I112" s="5" t="n">
        <v>6</v>
      </c>
      <c r="J112" s="4" t="inlineStr">
        <is>
          <t>4.9</t>
        </is>
      </c>
      <c r="K112" s="4" t="inlineStr">
        <is>
          <t>Vector results; + rounding-residual reconciliation tests</t>
        </is>
      </c>
      <c r="L112" s="4" t="inlineStr">
        <is>
          <t>QA</t>
        </is>
      </c>
      <c r="M112" s="35" t="n">
        <v>24</v>
      </c>
      <c r="N112" s="35" t="n">
        <v>1</v>
      </c>
      <c r="O112" s="35" t="n">
        <v>4</v>
      </c>
      <c r="P112" s="35" t="n">
        <v>19</v>
      </c>
      <c r="Q112" s="35" t="inlineStr">
        <is>
          <t>4%</t>
        </is>
      </c>
      <c r="R112" s="36" t="inlineStr">
        <is>
          <t>IN PROGRESS</t>
        </is>
      </c>
      <c r="S112" s="35" t="inlineStr">
        <is>
          <t>R2</t>
        </is>
      </c>
    </row>
    <row r="113">
      <c r="A113" s="2" t="inlineStr">
        <is>
          <t>15.4</t>
        </is>
      </c>
      <c r="B113" s="3" t="n">
        <v>15</v>
      </c>
      <c r="C113" s="4" t="inlineStr">
        <is>
          <t>15. Quality Assurance &amp; Testing</t>
        </is>
      </c>
      <c r="D113" s="4" t="inlineStr">
        <is>
          <t>Functional test suites per component</t>
        </is>
      </c>
      <c r="E113" s="4" t="inlineStr">
        <is>
          <t>Hub/Admin/Portal/API/ZeroPay/prefund/refund.</t>
        </is>
      </c>
      <c r="F113" s="3" t="n">
        <v>2</v>
      </c>
      <c r="G113" s="4" t="inlineStr">
        <is>
          <t>Cross-cutting</t>
        </is>
      </c>
      <c r="H113" s="4" t="inlineStr">
        <is>
          <t>QA-12</t>
        </is>
      </c>
      <c r="I113" s="5" t="n">
        <v>12</v>
      </c>
      <c r="J113" s="4" t="inlineStr">
        <is>
          <t>15.1</t>
        </is>
      </c>
      <c r="K113" s="4" t="inlineStr">
        <is>
          <t>Functional suites</t>
        </is>
      </c>
      <c r="L113" s="4" t="inlineStr">
        <is>
          <t>QA</t>
        </is>
      </c>
      <c r="M113" s="35" t="n">
        <v>50</v>
      </c>
      <c r="N113" s="35" t="n">
        <v>0</v>
      </c>
      <c r="O113" s="35" t="n">
        <v>6</v>
      </c>
      <c r="P113" s="35" t="n">
        <v>44</v>
      </c>
      <c r="Q113" s="35" t="inlineStr">
        <is>
          <t>0%</t>
        </is>
      </c>
      <c r="R113" s="36" t="inlineStr">
        <is>
          <t>IN PROGRESS</t>
        </is>
      </c>
      <c r="S113" s="35" t="inlineStr">
        <is>
          <t>R2</t>
        </is>
      </c>
    </row>
    <row r="114">
      <c r="A114" s="2" t="inlineStr">
        <is>
          <t>15.5</t>
        </is>
      </c>
      <c r="B114" s="3" t="n">
        <v>15</v>
      </c>
      <c r="C114" s="4" t="inlineStr">
        <is>
          <t>15. Quality Assurance &amp; Testing</t>
        </is>
      </c>
      <c r="D114" s="4" t="inlineStr">
        <is>
          <t>API contract &amp; webhook testing</t>
        </is>
      </c>
      <c r="E114" s="4" t="inlineStr">
        <is>
          <t>Validate vs OpenAPI; webhook delivery/retry.</t>
        </is>
      </c>
      <c r="F114" s="3" t="n">
        <v>2</v>
      </c>
      <c r="G114" s="4" t="inlineStr">
        <is>
          <t>API-N</t>
        </is>
      </c>
      <c r="H114" s="4" t="inlineStr">
        <is>
          <t>QA-12, API-05</t>
        </is>
      </c>
      <c r="I114" s="5" t="n">
        <v>6</v>
      </c>
      <c r="J114" s="4" t="inlineStr">
        <is>
          <t>8.9</t>
        </is>
      </c>
      <c r="K114" s="4" t="inlineStr">
        <is>
          <t>Contract tests</t>
        </is>
      </c>
      <c r="L114" s="4" t="inlineStr">
        <is>
          <t>QA</t>
        </is>
      </c>
      <c r="M114" s="35" t="n">
        <v>37</v>
      </c>
      <c r="N114" s="35" t="n">
        <v>1</v>
      </c>
      <c r="O114" s="35" t="n">
        <v>3</v>
      </c>
      <c r="P114" s="35" t="n">
        <v>33</v>
      </c>
      <c r="Q114" s="35" t="inlineStr">
        <is>
          <t>3%</t>
        </is>
      </c>
      <c r="R114" s="36" t="inlineStr">
        <is>
          <t>IN PROGRESS</t>
        </is>
      </c>
      <c r="S114" s="35" t="inlineStr">
        <is>
          <t>R6</t>
        </is>
      </c>
    </row>
    <row r="115">
      <c r="A115" s="2" t="inlineStr">
        <is>
          <t>15.6</t>
        </is>
      </c>
      <c r="B115" s="3" t="n">
        <v>15</v>
      </c>
      <c r="C115" s="4" t="inlineStr">
        <is>
          <t>15. Quality Assurance &amp; Testing</t>
        </is>
      </c>
      <c r="D115" s="4" t="inlineStr">
        <is>
          <t>ZeroPay batch round-trip testing</t>
        </is>
      </c>
      <c r="E115" s="4" t="inlineStr">
        <is>
          <t>All ZP00xx file generation/parse/timing.</t>
        </is>
      </c>
      <c r="F115" s="3" t="n">
        <v>2</v>
      </c>
      <c r="G115" s="4" t="inlineStr">
        <is>
          <t>API-S</t>
        </is>
      </c>
      <c r="H115" s="4" t="inlineStr">
        <is>
          <t>QA-12, SCH-06</t>
        </is>
      </c>
      <c r="I115" s="5" t="n">
        <v>8</v>
      </c>
      <c r="J115" s="4" t="inlineStr">
        <is>
          <t>9.10</t>
        </is>
      </c>
      <c r="K115" s="4" t="inlineStr">
        <is>
          <t>Batch test report</t>
        </is>
      </c>
      <c r="L115" s="4" t="inlineStr">
        <is>
          <t>QA</t>
        </is>
      </c>
      <c r="M115" s="35" t="n">
        <v>39</v>
      </c>
      <c r="N115" s="35" t="n">
        <v>2</v>
      </c>
      <c r="O115" s="35" t="n">
        <v>2</v>
      </c>
      <c r="P115" s="35" t="n">
        <v>35</v>
      </c>
      <c r="Q115" s="35" t="inlineStr">
        <is>
          <t>5%</t>
        </is>
      </c>
      <c r="R115" s="36" t="inlineStr">
        <is>
          <t>IN PROGRESS</t>
        </is>
      </c>
      <c r="S115" s="35" t="inlineStr">
        <is>
          <t>R7</t>
        </is>
      </c>
    </row>
    <row r="116">
      <c r="A116" s="2" t="inlineStr">
        <is>
          <t>15.7</t>
        </is>
      </c>
      <c r="B116" s="3" t="n">
        <v>15</v>
      </c>
      <c r="C116" s="4" t="inlineStr">
        <is>
          <t>15. Quality Assurance &amp; Testing</t>
        </is>
      </c>
      <c r="D116" s="4" t="inlineStr">
        <is>
          <t>Integration &amp; end-to-end testing</t>
        </is>
      </c>
      <c r="E116" s="4" t="inlineStr">
        <is>
          <t>Quote→execute→scheme→approved→settle flows.</t>
        </is>
      </c>
      <c r="F116" s="3" t="n">
        <v>2</v>
      </c>
      <c r="G116" s="4" t="inlineStr">
        <is>
          <t>Cross-cutting</t>
        </is>
      </c>
      <c r="H116" s="4" t="inlineStr">
        <is>
          <t>QA-12</t>
        </is>
      </c>
      <c r="I116" s="5" t="n">
        <v>10</v>
      </c>
      <c r="J116" s="4" t="inlineStr">
        <is>
          <t>15.4</t>
        </is>
      </c>
      <c r="K116" s="4" t="inlineStr">
        <is>
          <t>E2E results</t>
        </is>
      </c>
      <c r="L116" s="4" t="inlineStr">
        <is>
          <t>QA</t>
        </is>
      </c>
      <c r="M116" s="35" t="n">
        <v>46</v>
      </c>
      <c r="N116" s="35" t="n">
        <v>0</v>
      </c>
      <c r="O116" s="35" t="n">
        <v>0</v>
      </c>
      <c r="P116" s="35" t="n">
        <v>46</v>
      </c>
      <c r="Q116" s="35" t="inlineStr">
        <is>
          <t>0%</t>
        </is>
      </c>
      <c r="R116" s="37" t="inlineStr">
        <is>
          <t>NOT STARTED</t>
        </is>
      </c>
      <c r="S116" s="35" t="inlineStr">
        <is>
          <t>R6</t>
        </is>
      </c>
    </row>
    <row r="117">
      <c r="A117" s="2" t="inlineStr">
        <is>
          <t>15.8</t>
        </is>
      </c>
      <c r="B117" s="3" t="n">
        <v>15</v>
      </c>
      <c r="C117" s="4" t="inlineStr">
        <is>
          <t>15. Quality Assurance &amp; Testing</t>
        </is>
      </c>
      <c r="D117" s="4" t="inlineStr">
        <is>
          <t>Performance &amp; load testing</t>
        </is>
      </c>
      <c r="E117" s="4" t="inlineStr">
        <is>
          <t>Against NFR-10 latency/TPS/batch-window targets.</t>
        </is>
      </c>
      <c r="F117" s="3" t="n">
        <v>3</v>
      </c>
      <c r="G117" s="4" t="inlineStr">
        <is>
          <t>Cross-cutting</t>
        </is>
      </c>
      <c r="H117" s="4" t="inlineStr">
        <is>
          <t>QA-12, NFR-10</t>
        </is>
      </c>
      <c r="I117" s="5" t="n">
        <v>6</v>
      </c>
      <c r="J117" s="4" t="inlineStr">
        <is>
          <t>15.7</t>
        </is>
      </c>
      <c r="K117" s="4" t="inlineStr">
        <is>
          <t>Perf report</t>
        </is>
      </c>
      <c r="L117" s="4" t="inlineStr">
        <is>
          <t>QA</t>
        </is>
      </c>
      <c r="M117" s="35" t="n">
        <v>28</v>
      </c>
      <c r="N117" s="35" t="n">
        <v>0</v>
      </c>
      <c r="O117" s="35" t="n">
        <v>0</v>
      </c>
      <c r="P117" s="35" t="n">
        <v>28</v>
      </c>
      <c r="Q117" s="35" t="inlineStr">
        <is>
          <t>0%</t>
        </is>
      </c>
      <c r="R117" s="37" t="inlineStr">
        <is>
          <t>NOT STARTED</t>
        </is>
      </c>
      <c r="S117" s="35" t="inlineStr">
        <is>
          <t>R6</t>
        </is>
      </c>
    </row>
    <row r="118">
      <c r="A118" s="2" t="inlineStr">
        <is>
          <t>15.9</t>
        </is>
      </c>
      <c r="B118" s="3" t="n">
        <v>15</v>
      </c>
      <c r="C118" s="4" t="inlineStr">
        <is>
          <t>15. Quality Assurance &amp; Testing</t>
        </is>
      </c>
      <c r="D118" s="4" t="inlineStr">
        <is>
          <t>UAT support &amp; business sign-off</t>
        </is>
      </c>
      <c r="E118" s="4" t="inlineStr">
        <is>
          <t>Business scenarios, GME Ops/Finance sign-off.</t>
        </is>
      </c>
      <c r="F118" s="3" t="n">
        <v>3</v>
      </c>
      <c r="G118" s="4" t="inlineStr">
        <is>
          <t>Cross-cutting</t>
        </is>
      </c>
      <c r="H118" s="4" t="inlineStr">
        <is>
          <t>QA-12</t>
        </is>
      </c>
      <c r="I118" s="5" t="n">
        <v>6</v>
      </c>
      <c r="J118" s="4" t="inlineStr">
        <is>
          <t>15.7</t>
        </is>
      </c>
      <c r="K118" s="4" t="inlineStr">
        <is>
          <t>UAT sign-off</t>
        </is>
      </c>
      <c r="L118" s="4" t="inlineStr">
        <is>
          <t>QA</t>
        </is>
      </c>
      <c r="M118" s="35" t="n">
        <v>30</v>
      </c>
      <c r="N118" s="35" t="n">
        <v>0</v>
      </c>
      <c r="O118" s="35" t="n">
        <v>1</v>
      </c>
      <c r="P118" s="35" t="n">
        <v>29</v>
      </c>
      <c r="Q118" s="35" t="inlineStr">
        <is>
          <t>0%</t>
        </is>
      </c>
      <c r="R118" s="36" t="inlineStr">
        <is>
          <t>IN PROGRESS</t>
        </is>
      </c>
      <c r="S118" s="35" t="inlineStr">
        <is>
          <t>R8</t>
        </is>
      </c>
    </row>
    <row r="119">
      <c r="A119" s="2" t="inlineStr">
        <is>
          <t>15.10</t>
        </is>
      </c>
      <c r="B119" s="3" t="n">
        <v>15</v>
      </c>
      <c r="C119" s="4" t="inlineStr">
        <is>
          <t>15. Quality Assurance &amp; Testing</t>
        </is>
      </c>
      <c r="D119" s="4" t="inlineStr">
        <is>
          <t>Regression &amp; defect management</t>
        </is>
      </c>
      <c r="E119" s="4" t="inlineStr">
        <is>
          <t>Regression packs, triage, exit gates.</t>
        </is>
      </c>
      <c r="F119" s="3" t="n">
        <v>3</v>
      </c>
      <c r="G119" s="4" t="inlineStr">
        <is>
          <t>Cross-cutting</t>
        </is>
      </c>
      <c r="H119" s="4" t="inlineStr">
        <is>
          <t>QA-12</t>
        </is>
      </c>
      <c r="I119" s="5" t="n">
        <v>8</v>
      </c>
      <c r="J119" s="4" t="inlineStr">
        <is>
          <t>15.4</t>
        </is>
      </c>
      <c r="K119" s="4" t="inlineStr">
        <is>
          <t>Defect/exit report</t>
        </is>
      </c>
      <c r="L119" s="4" t="inlineStr">
        <is>
          <t>QA</t>
        </is>
      </c>
      <c r="M119" s="35" t="n">
        <v>31</v>
      </c>
      <c r="N119" s="35" t="n">
        <v>0</v>
      </c>
      <c r="O119" s="35" t="n">
        <v>0</v>
      </c>
      <c r="P119" s="35" t="n">
        <v>31</v>
      </c>
      <c r="Q119" s="35" t="inlineStr">
        <is>
          <t>0%</t>
        </is>
      </c>
      <c r="R119" s="37" t="inlineStr">
        <is>
          <t>NOT STARTED</t>
        </is>
      </c>
      <c r="S119" s="35" t="inlineStr">
        <is>
          <t>R6</t>
        </is>
      </c>
    </row>
    <row r="120">
      <c r="A120" s="6" t="inlineStr">
        <is>
          <t>16.1</t>
        </is>
      </c>
      <c r="B120" s="7" t="n">
        <v>16</v>
      </c>
      <c r="C120" s="8" t="inlineStr">
        <is>
          <t>16. Deployment, Go-Live &amp; Hypercare</t>
        </is>
      </c>
      <c r="D120" s="8" t="inlineStr">
        <is>
          <t>Go-live readiness &amp; cutover plan</t>
        </is>
      </c>
      <c r="E120" s="8" t="inlineStr">
        <is>
          <t>Readiness checklist, cutover &amp; rollback plan.</t>
        </is>
      </c>
      <c r="F120" s="7" t="n">
        <v>3</v>
      </c>
      <c r="G120" s="8" t="inlineStr">
        <is>
          <t>Cross-cutting</t>
        </is>
      </c>
      <c r="H120" s="8" t="inlineStr">
        <is>
          <t>OPS-13, PM-14</t>
        </is>
      </c>
      <c r="I120" s="9" t="n">
        <v>5</v>
      </c>
      <c r="J120" s="8" t="inlineStr">
        <is>
          <t>15.9</t>
        </is>
      </c>
      <c r="K120" s="8" t="inlineStr">
        <is>
          <t>Cutover plan</t>
        </is>
      </c>
      <c r="L120" s="8" t="inlineStr">
        <is>
          <t>DevOps</t>
        </is>
      </c>
      <c r="M120" s="35" t="n">
        <v>29</v>
      </c>
      <c r="N120" s="35" t="n">
        <v>0</v>
      </c>
      <c r="O120" s="35" t="n">
        <v>0</v>
      </c>
      <c r="P120" s="35" t="n">
        <v>29</v>
      </c>
      <c r="Q120" s="35" t="inlineStr">
        <is>
          <t>0%</t>
        </is>
      </c>
      <c r="R120" s="37" t="inlineStr">
        <is>
          <t>NOT STARTED</t>
        </is>
      </c>
      <c r="S120" s="35" t="inlineStr">
        <is>
          <t>R5</t>
        </is>
      </c>
    </row>
    <row r="121">
      <c r="A121" s="6" t="inlineStr">
        <is>
          <t>16.2</t>
        </is>
      </c>
      <c r="B121" s="7" t="n">
        <v>16</v>
      </c>
      <c r="C121" s="8" t="inlineStr">
        <is>
          <t>16. Deployment, Go-Live &amp; Hypercare</t>
        </is>
      </c>
      <c r="D121" s="8" t="inlineStr">
        <is>
          <t>Phase 3 go-live: GME Remit domestic</t>
        </is>
      </c>
      <c r="E121" s="8" t="inlineStr">
        <is>
          <t>Production launch (target Oct 10, 2026).</t>
        </is>
      </c>
      <c r="F121" s="7" t="n">
        <v>3</v>
      </c>
      <c r="G121" s="8" t="inlineStr">
        <is>
          <t>Cross-cutting</t>
        </is>
      </c>
      <c r="H121" s="8" t="inlineStr">
        <is>
          <t>PM-14</t>
        </is>
      </c>
      <c r="I121" s="9" t="n">
        <v>5</v>
      </c>
      <c r="J121" s="8" t="inlineStr">
        <is>
          <t>16.1</t>
        </is>
      </c>
      <c r="K121" s="8" t="inlineStr">
        <is>
          <t>P3 live</t>
        </is>
      </c>
      <c r="L121" s="8" t="inlineStr">
        <is>
          <t>DevOps</t>
        </is>
      </c>
      <c r="M121" s="35" t="n">
        <v>35</v>
      </c>
      <c r="N121" s="35" t="n">
        <v>0</v>
      </c>
      <c r="O121" s="35" t="n">
        <v>0</v>
      </c>
      <c r="P121" s="35" t="n">
        <v>35</v>
      </c>
      <c r="Q121" s="35" t="inlineStr">
        <is>
          <t>0%</t>
        </is>
      </c>
      <c r="R121" s="37" t="inlineStr">
        <is>
          <t>NOT STARTED</t>
        </is>
      </c>
      <c r="S121" s="35" t="inlineStr">
        <is>
          <t>R8</t>
        </is>
      </c>
    </row>
    <row r="122">
      <c r="A122" s="6" t="inlineStr">
        <is>
          <t>16.3</t>
        </is>
      </c>
      <c r="B122" s="7" t="n">
        <v>16</v>
      </c>
      <c r="C122" s="8" t="inlineStr">
        <is>
          <t>16. Deployment, Go-Live &amp; Hypercare</t>
        </is>
      </c>
      <c r="D122" s="8" t="inlineStr">
        <is>
          <t>Phase 4 onboarding: overseas partners</t>
        </is>
      </c>
      <c r="E122" s="8" t="inlineStr">
        <is>
          <t>Onboard T-Bank/SendMN; prefunding live.</t>
        </is>
      </c>
      <c r="F122" s="7" t="n">
        <v>4</v>
      </c>
      <c r="G122" s="8" t="inlineStr">
        <is>
          <t>Cross-cutting</t>
        </is>
      </c>
      <c r="H122" s="8" t="inlineStr">
        <is>
          <t>PM-14, API-05</t>
        </is>
      </c>
      <c r="I122" s="9" t="n">
        <v>8</v>
      </c>
      <c r="J122" s="8" t="inlineStr">
        <is>
          <t>16.2,8.10</t>
        </is>
      </c>
      <c r="K122" s="8" t="inlineStr">
        <is>
          <t>P4 partners live</t>
        </is>
      </c>
      <c r="L122" s="8" t="inlineStr">
        <is>
          <t>BE</t>
        </is>
      </c>
      <c r="M122" s="35" t="n">
        <v>42</v>
      </c>
      <c r="N122" s="35" t="n">
        <v>0</v>
      </c>
      <c r="O122" s="35" t="n">
        <v>0</v>
      </c>
      <c r="P122" s="35" t="n">
        <v>42</v>
      </c>
      <c r="Q122" s="35" t="inlineStr">
        <is>
          <t>0%</t>
        </is>
      </c>
      <c r="R122" s="37" t="inlineStr">
        <is>
          <t>NOT STARTED</t>
        </is>
      </c>
      <c r="S122" s="35" t="inlineStr">
        <is>
          <t>R8</t>
        </is>
      </c>
    </row>
    <row r="123">
      <c r="A123" s="6" t="inlineStr">
        <is>
          <t>16.4</t>
        </is>
      </c>
      <c r="B123" s="7" t="n">
        <v>16</v>
      </c>
      <c r="C123" s="8" t="inlineStr">
        <is>
          <t>16. Deployment, Go-Live &amp; Hypercare</t>
        </is>
      </c>
      <c r="D123" s="8" t="inlineStr">
        <is>
          <t>Production smoke tests &amp; monitoring</t>
        </is>
      </c>
      <c r="E123" s="8" t="inlineStr">
        <is>
          <t>Validate prod flows &amp; alerting post-deploy.</t>
        </is>
      </c>
      <c r="F123" s="7" t="n">
        <v>3</v>
      </c>
      <c r="G123" s="8" t="inlineStr">
        <is>
          <t>Cross-cutting</t>
        </is>
      </c>
      <c r="H123" s="8" t="inlineStr">
        <is>
          <t>OPS-13</t>
        </is>
      </c>
      <c r="I123" s="9" t="n">
        <v>4</v>
      </c>
      <c r="J123" s="8" t="inlineStr">
        <is>
          <t>16.2</t>
        </is>
      </c>
      <c r="K123" s="8" t="inlineStr">
        <is>
          <t>Smoke results</t>
        </is>
      </c>
      <c r="L123" s="8" t="inlineStr">
        <is>
          <t>QA</t>
        </is>
      </c>
      <c r="M123" s="35" t="n">
        <v>30</v>
      </c>
      <c r="N123" s="35" t="n">
        <v>0</v>
      </c>
      <c r="O123" s="35" t="n">
        <v>0</v>
      </c>
      <c r="P123" s="35" t="n">
        <v>30</v>
      </c>
      <c r="Q123" s="35" t="inlineStr">
        <is>
          <t>0%</t>
        </is>
      </c>
      <c r="R123" s="37" t="inlineStr">
        <is>
          <t>NOT STARTED</t>
        </is>
      </c>
      <c r="S123" s="35" t="inlineStr">
        <is>
          <t>R8</t>
        </is>
      </c>
    </row>
    <row r="124">
      <c r="A124" s="6" t="inlineStr">
        <is>
          <t>16.5</t>
        </is>
      </c>
      <c r="B124" s="7" t="n">
        <v>16</v>
      </c>
      <c r="C124" s="8" t="inlineStr">
        <is>
          <t>16. Deployment, Go-Live &amp; Hypercare</t>
        </is>
      </c>
      <c r="D124" s="8" t="inlineStr">
        <is>
          <t>Hypercare (14-day) &amp; stabilization</t>
        </is>
      </c>
      <c r="E124" s="8" t="inlineStr">
        <is>
          <t>Heightened support window post-launch.</t>
        </is>
      </c>
      <c r="F124" s="7" t="n">
        <v>4</v>
      </c>
      <c r="G124" s="8" t="inlineStr">
        <is>
          <t>Cross-cutting</t>
        </is>
      </c>
      <c r="H124" s="8" t="inlineStr">
        <is>
          <t>OPS-13</t>
        </is>
      </c>
      <c r="I124" s="9" t="n">
        <v>10</v>
      </c>
      <c r="J124" s="8" t="inlineStr">
        <is>
          <t>16.2</t>
        </is>
      </c>
      <c r="K124" s="8" t="inlineStr">
        <is>
          <t>Hypercare report</t>
        </is>
      </c>
      <c r="L124" s="8" t="inlineStr">
        <is>
          <t>All</t>
        </is>
      </c>
      <c r="M124" s="35" t="n">
        <v>32</v>
      </c>
      <c r="N124" s="35" t="n">
        <v>0</v>
      </c>
      <c r="O124" s="35" t="n">
        <v>0</v>
      </c>
      <c r="P124" s="35" t="n">
        <v>32</v>
      </c>
      <c r="Q124" s="35" t="inlineStr">
        <is>
          <t>0%</t>
        </is>
      </c>
      <c r="R124" s="37" t="inlineStr">
        <is>
          <t>NOT STARTED</t>
        </is>
      </c>
      <c r="S124" s="35" t="inlineStr">
        <is>
          <t>R8</t>
        </is>
      </c>
    </row>
    <row r="125">
      <c r="A125" s="6" t="inlineStr">
        <is>
          <t>16.6</t>
        </is>
      </c>
      <c r="B125" s="7" t="n">
        <v>16</v>
      </c>
      <c r="C125" s="8" t="inlineStr">
        <is>
          <t>16. Deployment, Go-Live &amp; Hypercare</t>
        </is>
      </c>
      <c r="D125" s="8" t="inlineStr">
        <is>
          <t>Operational runbook handover &amp; training</t>
        </is>
      </c>
      <c r="E125" s="8" t="inlineStr">
        <is>
          <t>Runbook walkthrough, Ops training.</t>
        </is>
      </c>
      <c r="F125" s="7" t="n">
        <v>4</v>
      </c>
      <c r="G125" s="8" t="inlineStr">
        <is>
          <t>Cross-cutting</t>
        </is>
      </c>
      <c r="H125" s="8" t="inlineStr">
        <is>
          <t>OPS-13</t>
        </is>
      </c>
      <c r="I125" s="9" t="n">
        <v>5</v>
      </c>
      <c r="J125" s="8" t="inlineStr">
        <is>
          <t>16.5</t>
        </is>
      </c>
      <c r="K125" s="8" t="inlineStr">
        <is>
          <t>Runbook + training</t>
        </is>
      </c>
      <c r="L125" s="8" t="inlineStr">
        <is>
          <t>DevOps</t>
        </is>
      </c>
      <c r="M125" s="35" t="n">
        <v>27</v>
      </c>
      <c r="N125" s="35" t="n">
        <v>0</v>
      </c>
      <c r="O125" s="35" t="n">
        <v>0</v>
      </c>
      <c r="P125" s="35" t="n">
        <v>27</v>
      </c>
      <c r="Q125" s="35" t="inlineStr">
        <is>
          <t>0%</t>
        </is>
      </c>
      <c r="R125" s="37" t="inlineStr">
        <is>
          <t>NOT STARTED</t>
        </is>
      </c>
      <c r="S125" s="35" t="inlineStr">
        <is>
          <t>R8</t>
        </is>
      </c>
    </row>
    <row r="126">
      <c r="A126" s="38" t="inlineStr">
        <is>
          <t>17.1</t>
        </is>
      </c>
      <c r="B126" s="38" t="inlineStr">
        <is>
          <t>17</t>
        </is>
      </c>
      <c r="C126" s="38" t="inlineStr">
        <is>
          <t>17. Real-Stack Gap Closure</t>
        </is>
      </c>
      <c r="D126" s="39" t="inlineStr">
        <is>
          <t>Docker-capable build &amp; CI environment</t>
        </is>
      </c>
      <c r="E126" s="39" t="inlineStr">
        <is>
          <t>Stand up a build host/runner with Docker so docker-compose + Testcontainers can run; wire into GitHub Actions. Single biggest unlock: every H2/stub PARTIAL depends on it.</t>
        </is>
      </c>
      <c r="F126" s="38" t="inlineStr">
        <is>
          <t>1</t>
        </is>
      </c>
      <c r="G126" s="38" t="inlineStr">
        <is>
          <t>platform-infra</t>
        </is>
      </c>
      <c r="H126" s="38" t="inlineStr">
        <is>
          <t>Audit 2026-06-10 / WBS v3 re-baseline</t>
        </is>
      </c>
      <c r="I126" s="40" t="n">
        <v>5</v>
      </c>
      <c r="J126" s="38" t="inlineStr">
        <is>
          <t>-</t>
        </is>
      </c>
      <c r="K126" s="39" t="inlineStr">
        <is>
          <t>CI job runs docker-compose stack + Testcontainers ITs green</t>
        </is>
      </c>
      <c r="L126" s="38" t="inlineStr">
        <is>
          <t>DevOps</t>
        </is>
      </c>
      <c r="M126" s="35" t="n">
        <v>3</v>
      </c>
      <c r="N126" s="35" t="inlineStr"/>
      <c r="O126" s="35" t="inlineStr"/>
      <c r="P126" s="35" t="inlineStr"/>
      <c r="Q126" s="35" t="inlineStr"/>
      <c r="R126" s="37" t="inlineStr">
        <is>
          <t>NOT STARTED</t>
        </is>
      </c>
      <c r="S126" s="35" t="inlineStr">
        <is>
          <t>R0</t>
        </is>
      </c>
    </row>
    <row r="127">
      <c r="A127" s="38" t="inlineStr">
        <is>
          <t>17.2</t>
        </is>
      </c>
      <c r="B127" s="38" t="inlineStr">
        <is>
          <t>17</t>
        </is>
      </c>
      <c r="C127" s="38" t="inlineStr">
        <is>
          <t>17. Real-Stack Gap Closure</t>
        </is>
      </c>
      <c r="D127" s="39" t="inlineStr">
        <is>
          <t>H2 → real PostgreSQL per service</t>
        </is>
      </c>
      <c r="E127" s="39" t="inlineStr">
        <is>
          <t>Replace H2-in-PG-mode test DBs with real PostgreSQL via docker-compose + Testcontainers ITs for all 12 persistence-bearing services; verify Flyway migrations against PG 16.</t>
        </is>
      </c>
      <c r="F127" s="38" t="inlineStr">
        <is>
          <t>1</t>
        </is>
      </c>
      <c r="G127" s="38" t="inlineStr">
        <is>
          <t>all data services</t>
        </is>
      </c>
      <c r="H127" s="38" t="inlineStr">
        <is>
          <t>Audit 2026-06-10 / WBS v3 re-baseline</t>
        </is>
      </c>
      <c r="I127" s="38" t="n">
        <v>18</v>
      </c>
      <c r="J127" s="38" t="inlineStr">
        <is>
          <t>17.1</t>
        </is>
      </c>
      <c r="K127" s="39" t="inlineStr">
        <is>
          <t>Repository ITs green on real PostgreSQL for 12 services</t>
        </is>
      </c>
      <c r="L127" s="38" t="inlineStr">
        <is>
          <t>Backend</t>
        </is>
      </c>
      <c r="M127" s="35" t="n">
        <v>12</v>
      </c>
      <c r="N127" s="35" t="inlineStr"/>
      <c r="O127" s="35" t="inlineStr"/>
      <c r="P127" s="35" t="inlineStr"/>
      <c r="Q127" s="35" t="inlineStr"/>
      <c r="R127" s="37" t="inlineStr">
        <is>
          <t>NOT STARTED</t>
        </is>
      </c>
      <c r="S127" s="35" t="inlineStr">
        <is>
          <t>R1</t>
        </is>
      </c>
    </row>
    <row r="128">
      <c r="A128" s="38" t="inlineStr">
        <is>
          <t>17.3</t>
        </is>
      </c>
      <c r="B128" s="38" t="inlineStr">
        <is>
          <t>17</t>
        </is>
      </c>
      <c r="C128" s="38" t="inlineStr">
        <is>
          <t>17. Real-Stack Gap Closure</t>
        </is>
      </c>
      <c r="D128" s="39" t="inlineStr">
        <is>
          <t>Redis wiring (cache/TTL/idempotency)</t>
        </is>
      </c>
      <c r="E128" s="39" t="inlineStr">
        <is>
          <t>Replace in-memory stores with Redis: rate-quote TTL store (rate-fx), idempotency keys (transaction-mgmt/api-gateway), config cache (config-registry).</t>
        </is>
      </c>
      <c r="F128" s="38" t="inlineStr">
        <is>
          <t>1</t>
        </is>
      </c>
      <c r="G128" s="38" t="inlineStr">
        <is>
          <t>rate-fx, txn-mgmt, config-registry</t>
        </is>
      </c>
      <c r="H128" s="38" t="inlineStr">
        <is>
          <t>Audit 2026-06-10 / WBS v3 re-baseline</t>
        </is>
      </c>
      <c r="I128" s="38" t="n">
        <v>6</v>
      </c>
      <c r="J128" s="38" t="inlineStr">
        <is>
          <t>17.1</t>
        </is>
      </c>
      <c r="K128" s="39" t="inlineStr">
        <is>
          <t>Redis-backed stores with ITs</t>
        </is>
      </c>
      <c r="L128" s="38" t="inlineStr">
        <is>
          <t>Backend</t>
        </is>
      </c>
      <c r="M128" s="35" t="n">
        <v>3</v>
      </c>
      <c r="N128" s="35" t="inlineStr"/>
      <c r="O128" s="35" t="inlineStr"/>
      <c r="P128" s="35" t="inlineStr"/>
      <c r="Q128" s="35" t="inlineStr"/>
      <c r="R128" s="37" t="inlineStr">
        <is>
          <t>NOT STARTED</t>
        </is>
      </c>
      <c r="S128" s="35" t="inlineStr">
        <is>
          <t>R1</t>
        </is>
      </c>
    </row>
    <row r="129">
      <c r="A129" s="38" t="inlineStr">
        <is>
          <t>17.4</t>
        </is>
      </c>
      <c r="B129" s="38" t="inlineStr">
        <is>
          <t>17</t>
        </is>
      </c>
      <c r="C129" s="38" t="inlineStr">
        <is>
          <t>17. Real-Stack Gap Closure</t>
        </is>
      </c>
      <c r="D129" s="39" t="inlineStr">
        <is>
          <t>Kafka producer + Schema Registry</t>
        </is>
      </c>
      <c r="E129" s="39" t="inlineStr">
        <is>
          <t>Implement KafkaEventPublisher behind lib-events EventPublisher; outbox publishers drain to Kafka; notification-webhook consumes payment.approved; Schema Registry with subject naming + compatibility rules.</t>
        </is>
      </c>
      <c r="F129" s="38" t="inlineStr">
        <is>
          <t>1</t>
        </is>
      </c>
      <c r="G129" s="38" t="inlineStr">
        <is>
          <t>lib-events, all outbox services</t>
        </is>
      </c>
      <c r="H129" s="38" t="inlineStr">
        <is>
          <t>Audit 2026-06-10 / WBS v3 re-baseline</t>
        </is>
      </c>
      <c r="I129" s="38" t="n">
        <v>10</v>
      </c>
      <c r="J129" s="38" t="inlineStr">
        <is>
          <t>17.1</t>
        </is>
      </c>
      <c r="K129" s="39" t="inlineStr">
        <is>
          <t>Events flow producer→Kafka→consumer in compose stack</t>
        </is>
      </c>
      <c r="L129" s="38" t="inlineStr">
        <is>
          <t>Backend</t>
        </is>
      </c>
      <c r="M129" s="35" t="n">
        <v>5</v>
      </c>
      <c r="N129" s="35" t="inlineStr"/>
      <c r="O129" s="35" t="inlineStr"/>
      <c r="P129" s="35" t="inlineStr"/>
      <c r="Q129" s="35" t="inlineStr"/>
      <c r="R129" s="37" t="inlineStr">
        <is>
          <t>NOT STARTED</t>
        </is>
      </c>
      <c r="S129" s="35" t="inlineStr">
        <is>
          <t>R1</t>
        </is>
      </c>
    </row>
    <row r="130">
      <c r="A130" s="38" t="inlineStr">
        <is>
          <t>17.5</t>
        </is>
      </c>
      <c r="B130" s="38" t="inlineStr">
        <is>
          <t>17</t>
        </is>
      </c>
      <c r="C130" s="38" t="inlineStr">
        <is>
          <t>17. Real-Stack Gap Closure</t>
        </is>
      </c>
      <c r="D130" s="39" t="inlineStr">
        <is>
          <t>Stub→REST client flip, E2E verified</t>
        </is>
      </c>
      <c r="E130" s="39" t="inlineStr">
        <is>
          <t>Promote Rest*Client @Primary impls to verified: payment-executor's 7 clients and ops-partner-bff's 10 clients exercised against live services on the compose stack; delete/demote stubs to test scope.</t>
        </is>
      </c>
      <c r="F130" s="38" t="inlineStr">
        <is>
          <t>2</t>
        </is>
      </c>
      <c r="G130" s="38" t="inlineStr">
        <is>
          <t>payment-executor, ops-partner-bff</t>
        </is>
      </c>
      <c r="H130" s="38" t="inlineStr">
        <is>
          <t>Audit 2026-06-10 / WBS v3 re-baseline</t>
        </is>
      </c>
      <c r="I130" s="38" t="n">
        <v>10</v>
      </c>
      <c r="J130" s="38" t="inlineStr">
        <is>
          <t>17.1,17.2</t>
        </is>
      </c>
      <c r="K130" s="39" t="inlineStr">
        <is>
          <t>Inter-service REST calls verified E2E; stubs test-only</t>
        </is>
      </c>
      <c r="L130" s="38" t="inlineStr">
        <is>
          <t>Backend</t>
        </is>
      </c>
      <c r="M130" s="35" t="n">
        <v>3</v>
      </c>
      <c r="N130" s="35" t="inlineStr"/>
      <c r="O130" s="35" t="inlineStr"/>
      <c r="P130" s="35" t="inlineStr"/>
      <c r="Q130" s="35" t="inlineStr"/>
      <c r="R130" s="37" t="inlineStr">
        <is>
          <t>NOT STARTED</t>
        </is>
      </c>
      <c r="S130" s="35" t="inlineStr">
        <is>
          <t>R2</t>
        </is>
      </c>
    </row>
    <row r="131">
      <c r="A131" s="38" t="inlineStr">
        <is>
          <t>17.6</t>
        </is>
      </c>
      <c r="B131" s="38" t="inlineStr">
        <is>
          <t>17</t>
        </is>
      </c>
      <c r="C131" s="38" t="inlineStr">
        <is>
          <t>17. Real-Stack Gap Closure</t>
        </is>
      </c>
      <c r="D131" s="39" t="inlineStr">
        <is>
          <t>Registry persistence (scheme/rule/treasury)</t>
        </is>
      </c>
      <c r="E131" s="39" t="inlineStr">
        <is>
          <t>Persist Scheme, Routing-Rule and Treasury registries in config-registry (currently in-memory/seed): entities, Flyway, CRUD endpoints, effective-dating.</t>
        </is>
      </c>
      <c r="F131" s="38" t="inlineStr">
        <is>
          <t>1</t>
        </is>
      </c>
      <c r="G131" s="38" t="inlineStr">
        <is>
          <t>config-registry</t>
        </is>
      </c>
      <c r="H131" s="38" t="inlineStr">
        <is>
          <t>Audit 2026-06-10 / WBS v3 re-baseline</t>
        </is>
      </c>
      <c r="I131" s="38" t="n">
        <v>8</v>
      </c>
      <c r="J131" s="38" t="inlineStr">
        <is>
          <t>17.2</t>
        </is>
      </c>
      <c r="K131" s="39" t="inlineStr">
        <is>
          <t>Registries survive restart; CRUD + ITs green</t>
        </is>
      </c>
      <c r="L131" s="38" t="inlineStr">
        <is>
          <t>Backend</t>
        </is>
      </c>
      <c r="M131" s="35" t="n">
        <v>3</v>
      </c>
      <c r="N131" s="35" t="inlineStr"/>
      <c r="O131" s="35" t="inlineStr"/>
      <c r="P131" s="35" t="inlineStr"/>
      <c r="Q131" s="35" t="inlineStr"/>
      <c r="R131" s="37" t="inlineStr">
        <is>
          <t>NOT STARTED</t>
        </is>
      </c>
      <c r="S131" s="35" t="inlineStr">
        <is>
          <t>R1</t>
        </is>
      </c>
    </row>
    <row r="132">
      <c r="A132" s="38" t="inlineStr">
        <is>
          <t>17.7</t>
        </is>
      </c>
      <c r="B132" s="38" t="inlineStr">
        <is>
          <t>17</t>
        </is>
      </c>
      <c r="C132" s="38" t="inlineStr">
        <is>
          <t>17. Real-Stack Gap Closure</t>
        </is>
      </c>
      <c r="D132" s="39" t="inlineStr">
        <is>
          <t>MongoDB merchant/QR mirror</t>
        </is>
      </c>
      <c r="E132" s="39" t="inlineStr">
        <is>
          <t>Stand up MongoDB for merchant-qr-data (per architecture diagram); move lookup store from memory to Mongo; nightly sync job skeleton.</t>
        </is>
      </c>
      <c r="F132" s="38" t="inlineStr">
        <is>
          <t>2</t>
        </is>
      </c>
      <c r="G132" s="38" t="inlineStr">
        <is>
          <t>merchant-qr-data</t>
        </is>
      </c>
      <c r="H132" s="38" t="inlineStr">
        <is>
          <t>Audit 2026-06-10 / WBS v3 re-baseline</t>
        </is>
      </c>
      <c r="I132" s="38" t="n">
        <v>5</v>
      </c>
      <c r="J132" s="38" t="inlineStr">
        <is>
          <t>17.1</t>
        </is>
      </c>
      <c r="K132" s="39" t="inlineStr">
        <is>
          <t>Mongo-backed merchant lookup with ITs</t>
        </is>
      </c>
      <c r="L132" s="38" t="inlineStr">
        <is>
          <t>Backend</t>
        </is>
      </c>
      <c r="M132" s="35" t="n">
        <v>2</v>
      </c>
      <c r="N132" s="35" t="inlineStr"/>
      <c r="O132" s="35" t="inlineStr"/>
      <c r="P132" s="35" t="inlineStr"/>
      <c r="Q132" s="35" t="inlineStr"/>
      <c r="R132" s="37" t="inlineStr">
        <is>
          <t>NOT STARTED</t>
        </is>
      </c>
      <c r="S132" s="35" t="inlineStr">
        <is>
          <t>R1</t>
        </is>
      </c>
    </row>
    <row r="133">
      <c r="A133" s="38" t="inlineStr">
        <is>
          <t>17.8</t>
        </is>
      </c>
      <c r="B133" s="38" t="inlineStr">
        <is>
          <t>17</t>
        </is>
      </c>
      <c r="C133" s="38" t="inlineStr">
        <is>
          <t>17. Real-Stack Gap Closure</t>
        </is>
      </c>
      <c r="D133" s="39" t="inlineStr">
        <is>
          <t>Object storage (MinIO) for files</t>
        </is>
      </c>
      <c r="E133" s="39" t="inlineStr">
        <is>
          <t>S3-compatible MinIO in compose; statements, recon files and ZP batch files stored/retrieved via a small lib-storage client.</t>
        </is>
      </c>
      <c r="F133" s="38" t="inlineStr">
        <is>
          <t>2</t>
        </is>
      </c>
      <c r="G133" s="38" t="inlineStr">
        <is>
          <t>settlement, scheme-adapter, BFF</t>
        </is>
      </c>
      <c r="H133" s="38" t="inlineStr">
        <is>
          <t>Audit 2026-06-10 / WBS v3 re-baseline</t>
        </is>
      </c>
      <c r="I133" s="38" t="n">
        <v>5</v>
      </c>
      <c r="J133" s="38" t="inlineStr">
        <is>
          <t>17.1</t>
        </is>
      </c>
      <c r="K133" s="39" t="inlineStr">
        <is>
          <t>Files round-trip through MinIO</t>
        </is>
      </c>
      <c r="L133" s="38" t="inlineStr">
        <is>
          <t>Backend</t>
        </is>
      </c>
      <c r="M133" s="35" t="n">
        <v>2</v>
      </c>
      <c r="N133" s="35" t="inlineStr"/>
      <c r="O133" s="35" t="inlineStr"/>
      <c r="P133" s="35" t="inlineStr"/>
      <c r="Q133" s="35" t="inlineStr"/>
      <c r="R133" s="37" t="inlineStr">
        <is>
          <t>NOT STARTED</t>
        </is>
      </c>
      <c r="S133" s="35" t="inlineStr">
        <is>
          <t>R1</t>
        </is>
      </c>
    </row>
    <row r="134">
      <c r="A134" s="38" t="inlineStr">
        <is>
          <t>18.1</t>
        </is>
      </c>
      <c r="B134" s="38" t="inlineStr">
        <is>
          <t>18</t>
        </is>
      </c>
      <c r="C134" s="38" t="inlineStr">
        <is>
          <t>18. Missing Components</t>
        </is>
      </c>
      <c r="D134" s="39" t="inlineStr">
        <is>
          <t>ops-partner-bff legitimization &amp; real wiring</t>
        </is>
      </c>
      <c r="E134" s="39" t="inlineStr">
        <is>
          <t>The BFF was built ahead of tickets (19 endpoints + 18 test classes). Legitimize in WBS; wire its 10 clients to real services; add auth pass-through.</t>
        </is>
      </c>
      <c r="F134" s="38" t="inlineStr">
        <is>
          <t>2</t>
        </is>
      </c>
      <c r="G134" s="38" t="inlineStr">
        <is>
          <t>ops-partner-bff</t>
        </is>
      </c>
      <c r="H134" s="38" t="inlineStr">
        <is>
          <t>Audit 2026-06-10 / WBS v3 re-baseline</t>
        </is>
      </c>
      <c r="I134" s="38" t="n">
        <v>6</v>
      </c>
      <c r="J134" s="38" t="inlineStr">
        <is>
          <t>17.5</t>
        </is>
      </c>
      <c r="K134" s="39" t="inlineStr">
        <is>
          <t>BFF serves both UIs from live services</t>
        </is>
      </c>
      <c r="L134" s="38" t="inlineStr">
        <is>
          <t>Backend</t>
        </is>
      </c>
      <c r="M134" s="35" t="n">
        <v>2</v>
      </c>
      <c r="N134" s="35" t="inlineStr"/>
      <c r="O134" s="35" t="inlineStr"/>
      <c r="P134" s="35" t="inlineStr"/>
      <c r="Q134" s="35" t="inlineStr"/>
      <c r="R134" s="37" t="inlineStr">
        <is>
          <t>NOT STARTED</t>
        </is>
      </c>
      <c r="S134" s="35" t="inlineStr">
        <is>
          <t>R2</t>
        </is>
      </c>
    </row>
    <row r="135">
      <c r="A135" s="38" t="inlineStr">
        <is>
          <t>18.2</t>
        </is>
      </c>
      <c r="B135" s="38" t="inlineStr">
        <is>
          <t>18</t>
        </is>
      </c>
      <c r="C135" s="38" t="inlineStr">
        <is>
          <t>18. Missing Components</t>
        </is>
      </c>
      <c r="D135" s="39" t="inlineStr">
        <is>
          <t>Nginx WAF edge</t>
        </is>
      </c>
      <c r="E135" s="39" t="inlineStr">
        <is>
          <t>Nginx reverse proxy + WAF rules in front of api-gateway and the UIs per the architecture diagram (decision 18.7 governs final edge shape).</t>
        </is>
      </c>
      <c r="F135" s="38" t="inlineStr">
        <is>
          <t>2</t>
        </is>
      </c>
      <c r="G135" s="38" t="inlineStr">
        <is>
          <t>edge</t>
        </is>
      </c>
      <c r="H135" s="38" t="inlineStr">
        <is>
          <t>Audit 2026-06-10 / WBS v3 re-baseline</t>
        </is>
      </c>
      <c r="I135" s="38" t="n">
        <v>6</v>
      </c>
      <c r="J135" s="38" t="inlineStr">
        <is>
          <t>18.7</t>
        </is>
      </c>
      <c r="K135" s="39" t="inlineStr">
        <is>
          <t>Nginx fronts the compose stack with WAF ruleset</t>
        </is>
      </c>
      <c r="L135" s="38" t="inlineStr">
        <is>
          <t>DevOps</t>
        </is>
      </c>
      <c r="M135" s="35" t="n">
        <v>2</v>
      </c>
      <c r="N135" s="35" t="inlineStr"/>
      <c r="O135" s="35" t="inlineStr"/>
      <c r="P135" s="35" t="inlineStr"/>
      <c r="Q135" s="35" t="inlineStr"/>
      <c r="R135" s="37" t="inlineStr">
        <is>
          <t>NOT STARTED</t>
        </is>
      </c>
      <c r="S135" s="35" t="inlineStr">
        <is>
          <t>R3</t>
        </is>
      </c>
    </row>
    <row r="136">
      <c r="A136" s="38" t="inlineStr">
        <is>
          <t>18.3</t>
        </is>
      </c>
      <c r="B136" s="38" t="inlineStr">
        <is>
          <t>18</t>
        </is>
      </c>
      <c r="C136" s="38" t="inlineStr">
        <is>
          <t>18. Missing Components</t>
        </is>
      </c>
      <c r="D136" s="39" t="inlineStr">
        <is>
          <t>SFTP Gateway service</t>
        </is>
      </c>
      <c r="E136" s="39" t="inlineStr">
        <is>
          <t>Dedicated SFTP gateway (per architecture diagram) brokering KFTC batch file exchange: inbound/outbound directories, PGP encrypt/decrypt, key mgmt, pickup/drop schedule.</t>
        </is>
      </c>
      <c r="F136" s="38" t="inlineStr">
        <is>
          <t>2</t>
        </is>
      </c>
      <c r="G136" s="38" t="inlineStr">
        <is>
          <t>sftp-gateway</t>
        </is>
      </c>
      <c r="H136" s="38" t="inlineStr">
        <is>
          <t>Audit 2026-06-10 / WBS v3 re-baseline</t>
        </is>
      </c>
      <c r="I136" s="38" t="n">
        <v>8</v>
      </c>
      <c r="J136" s="38" t="inlineStr">
        <is>
          <t>17.8</t>
        </is>
      </c>
      <c r="K136" s="39" t="inlineStr">
        <is>
          <t>ZP files flow disk↔SFTP↔adapter in compose stack</t>
        </is>
      </c>
      <c r="L136" s="38" t="inlineStr">
        <is>
          <t>Backend</t>
        </is>
      </c>
      <c r="M136" s="35" t="n">
        <v>3</v>
      </c>
      <c r="N136" s="35" t="inlineStr"/>
      <c r="O136" s="35" t="inlineStr"/>
      <c r="P136" s="35" t="inlineStr"/>
      <c r="Q136" s="35" t="inlineStr"/>
      <c r="R136" s="37" t="inlineStr">
        <is>
          <t>NOT STARTED</t>
        </is>
      </c>
      <c r="S136" s="35" t="inlineStr">
        <is>
          <t>R2</t>
        </is>
      </c>
    </row>
    <row r="137">
      <c r="A137" s="38" t="inlineStr">
        <is>
          <t>18.4</t>
        </is>
      </c>
      <c r="B137" s="38" t="inlineStr">
        <is>
          <t>18</t>
        </is>
      </c>
      <c r="C137" s="38" t="inlineStr">
        <is>
          <t>18. Missing Components</t>
        </is>
      </c>
      <c r="D137" s="39" t="inlineStr">
        <is>
          <t>Real authentication (replace demo login)</t>
        </is>
      </c>
      <c r="E137" s="39" t="inlineStr">
        <is>
          <t>Replace password=demo stub: auth-identity issues JWTs (OAuth2 password/client-credentials), BFF validates, RBAC roles enforced, refresh rotation, login rate-limit.</t>
        </is>
      </c>
      <c r="F137" s="38" t="inlineStr">
        <is>
          <t>2</t>
        </is>
      </c>
      <c r="G137" s="38" t="inlineStr">
        <is>
          <t>auth-identity, ops-partner-bff, UIs</t>
        </is>
      </c>
      <c r="H137" s="38" t="inlineStr">
        <is>
          <t>Audit 2026-06-10 / WBS v3 re-baseline</t>
        </is>
      </c>
      <c r="I137" s="38" t="n">
        <v>10</v>
      </c>
      <c r="J137" s="38" t="inlineStr">
        <is>
          <t>17.2</t>
        </is>
      </c>
      <c r="K137" s="39" t="inlineStr">
        <is>
          <t>Login works end-to-end with real JWT + RBAC</t>
        </is>
      </c>
      <c r="L137" s="38" t="inlineStr">
        <is>
          <t>Backend</t>
        </is>
      </c>
      <c r="M137" s="35" t="n">
        <v>4</v>
      </c>
      <c r="N137" s="35" t="inlineStr"/>
      <c r="O137" s="35" t="inlineStr"/>
      <c r="P137" s="35" t="inlineStr"/>
      <c r="Q137" s="35" t="inlineStr"/>
      <c r="R137" s="37" t="inlineStr">
        <is>
          <t>NOT STARTED</t>
        </is>
      </c>
      <c r="S137" s="35" t="inlineStr">
        <is>
          <t>R3</t>
        </is>
      </c>
    </row>
    <row r="138">
      <c r="A138" s="38" t="inlineStr">
        <is>
          <t>18.5</t>
        </is>
      </c>
      <c r="B138" s="38" t="inlineStr">
        <is>
          <t>18</t>
        </is>
      </c>
      <c r="C138" s="38" t="inlineStr">
        <is>
          <t>18. Missing Components</t>
        </is>
      </c>
      <c r="D138" s="39" t="inlineStr">
        <is>
          <t>UI contract-drift prevention</t>
        </is>
      </c>
      <c r="E138" s="39" t="inlineStr">
        <is>
          <t>Per-slice Vitest contract tests pinned to the BFF wire contract (already started); add CI check that fails on BFF DTO/UI field drift; Playwright-free smoke via vitest+jsdom.</t>
        </is>
      </c>
      <c r="F138" s="38" t="inlineStr">
        <is>
          <t>2</t>
        </is>
      </c>
      <c r="G138" s="38" t="inlineStr">
        <is>
          <t>admin-ui, partner-portal-ui</t>
        </is>
      </c>
      <c r="H138" s="38" t="inlineStr">
        <is>
          <t>Audit 2026-06-10 / WBS v3 re-baseline</t>
        </is>
      </c>
      <c r="I138" s="38" t="n">
        <v>4</v>
      </c>
      <c r="J138" s="38" t="inlineStr">
        <is>
          <t>18.1</t>
        </is>
      </c>
      <c r="K138" s="39" t="inlineStr">
        <is>
          <t>CI fails on contract drift; 19 pages smoke-tested</t>
        </is>
      </c>
      <c r="L138" s="38" t="inlineStr">
        <is>
          <t>Frontend</t>
        </is>
      </c>
      <c r="M138" s="35" t="n">
        <v>2</v>
      </c>
      <c r="N138" s="35" t="inlineStr"/>
      <c r="O138" s="35" t="inlineStr"/>
      <c r="P138" s="35" t="inlineStr"/>
      <c r="Q138" s="35" t="inlineStr"/>
      <c r="R138" s="37" t="inlineStr">
        <is>
          <t>NOT STARTED</t>
        </is>
      </c>
      <c r="S138" s="35" t="inlineStr">
        <is>
          <t>R4</t>
        </is>
      </c>
    </row>
    <row r="139">
      <c r="A139" s="38" t="inlineStr">
        <is>
          <t>18.6</t>
        </is>
      </c>
      <c r="B139" s="38" t="inlineStr">
        <is>
          <t>18</t>
        </is>
      </c>
      <c r="C139" s="38" t="inlineStr">
        <is>
          <t>18. Missing Components</t>
        </is>
      </c>
      <c r="D139" s="39" t="inlineStr">
        <is>
          <t>docker-compose E2E money-path harness</t>
        </is>
      </c>
      <c r="E139" s="39" t="inlineStr">
        <is>
          <t>One command brings up the full stack + seeded demo data; scripted E2E: quote→route→prefund deduct→execute→ZP simulate→commit→settlement booking+rounding residual→webhook; asserts ledger invariants.</t>
        </is>
      </c>
      <c r="F139" s="38" t="inlineStr">
        <is>
          <t>2</t>
        </is>
      </c>
      <c r="G139" s="38" t="inlineStr">
        <is>
          <t>qa-platform</t>
        </is>
      </c>
      <c r="H139" s="38" t="inlineStr">
        <is>
          <t>Audit 2026-06-10 / WBS v3 re-baseline</t>
        </is>
      </c>
      <c r="I139" s="38" t="n">
        <v>8</v>
      </c>
      <c r="J139" s="38" t="inlineStr">
        <is>
          <t>17.1,17.5</t>
        </is>
      </c>
      <c r="K139" s="39" t="inlineStr">
        <is>
          <t>Money-path E2E green in CI</t>
        </is>
      </c>
      <c r="L139" s="38" t="inlineStr">
        <is>
          <t>QA</t>
        </is>
      </c>
      <c r="M139" s="35" t="n">
        <v>3</v>
      </c>
      <c r="N139" s="35" t="inlineStr"/>
      <c r="O139" s="35" t="inlineStr"/>
      <c r="P139" s="35" t="inlineStr"/>
      <c r="Q139" s="35" t="inlineStr"/>
      <c r="R139" s="37" t="inlineStr">
        <is>
          <t>NOT STARTED</t>
        </is>
      </c>
      <c r="S139" s="35" t="inlineStr">
        <is>
          <t>R2</t>
        </is>
      </c>
    </row>
    <row r="140">
      <c r="A140" s="38" t="inlineStr">
        <is>
          <t>18.7</t>
        </is>
      </c>
      <c r="B140" s="38" t="inlineStr">
        <is>
          <t>18</t>
        </is>
      </c>
      <c r="C140" s="38" t="inlineStr">
        <is>
          <t>18. Missing Components</t>
        </is>
      </c>
      <c r="D140" s="39" t="inlineStr">
        <is>
          <t>Stack decision record (ADR)</t>
        </is>
      </c>
      <c r="E140" s="39" t="inlineStr">
        <is>
          <t>Resolve user-pending contradictions: Kafka vs RabbitMQ, Spring Cloud Gateway vs Nginx, MongoDB keep/drop, Rocky Linux images, Elasticsearch role. Write ADRs; align code.</t>
        </is>
      </c>
      <c r="F140" s="38" t="inlineStr">
        <is>
          <t>1</t>
        </is>
      </c>
      <c r="G140" s="38" t="inlineStr">
        <is>
          <t>architecture</t>
        </is>
      </c>
      <c r="H140" s="38" t="inlineStr">
        <is>
          <t>Audit 2026-06-10 / WBS v3 re-baseline</t>
        </is>
      </c>
      <c r="I140" s="38" t="n">
        <v>2</v>
      </c>
      <c r="J140" s="38" t="inlineStr">
        <is>
          <t>-</t>
        </is>
      </c>
      <c r="K140" s="39" t="inlineStr">
        <is>
          <t>ADR-001..005 merged; stack matches one source of truth</t>
        </is>
      </c>
      <c r="L140" s="38" t="inlineStr">
        <is>
          <t>Architect</t>
        </is>
      </c>
      <c r="M140" s="35" t="n">
        <v>1</v>
      </c>
      <c r="N140" s="35" t="inlineStr"/>
      <c r="O140" s="35" t="inlineStr"/>
      <c r="P140" s="35" t="inlineStr"/>
      <c r="Q140" s="35" t="inlineStr"/>
      <c r="R140" s="37" t="inlineStr">
        <is>
          <t>NOT STARTED</t>
        </is>
      </c>
      <c r="S140" s="35" t="inlineStr">
        <is>
          <t>R0</t>
        </is>
      </c>
    </row>
    <row r="141">
      <c r="A141" s="38" t="inlineStr">
        <is>
          <t>20.1</t>
        </is>
      </c>
      <c r="B141" s="38" t="inlineStr">
        <is>
          <t>20</t>
        </is>
      </c>
      <c r="C141" s="38" t="inlineStr">
        <is>
          <t>20. Phase-2+ Scheme Adapters</t>
        </is>
      </c>
      <c r="D141" s="39" t="inlineStr">
        <is>
          <t>KHQR adapter (Cambodia)</t>
        </is>
      </c>
      <c r="E141" s="39" t="inlineStr">
        <is>
          <t>Bakong KHQR scheme adapter: EMVCo profile, member bank API, settlement files. Expand WBS when partner contract lands.</t>
        </is>
      </c>
      <c r="F141" s="38" t="inlineStr">
        <is>
          <t>4</t>
        </is>
      </c>
      <c r="G141" s="38" t="inlineStr">
        <is>
          <t>scheme-adapter-khqr</t>
        </is>
      </c>
      <c r="H141" s="38" t="inlineStr">
        <is>
          <t>Audit 2026-06-10 / WBS v3 re-baseline</t>
        </is>
      </c>
      <c r="I141" s="38" t="n">
        <v>40</v>
      </c>
      <c r="J141" s="38" t="inlineStr">
        <is>
          <t>9.1,16.2</t>
        </is>
      </c>
      <c r="K141" s="39" t="inlineStr">
        <is>
          <t>KHQR adapter certified</t>
        </is>
      </c>
      <c r="L141" s="38" t="inlineStr">
        <is>
          <t>Backend</t>
        </is>
      </c>
      <c r="M141" s="35" t="n">
        <v>1</v>
      </c>
      <c r="N141" s="35" t="inlineStr"/>
      <c r="O141" s="35" t="inlineStr"/>
      <c r="P141" s="35" t="inlineStr"/>
      <c r="Q141" s="35" t="inlineStr"/>
      <c r="R141" s="37" t="inlineStr">
        <is>
          <t>NOT STARTED</t>
        </is>
      </c>
      <c r="S141" s="35" t="inlineStr">
        <is>
          <t>R8</t>
        </is>
      </c>
    </row>
    <row r="142">
      <c r="A142" s="38" t="inlineStr">
        <is>
          <t>20.2</t>
        </is>
      </c>
      <c r="B142" s="38" t="inlineStr">
        <is>
          <t>20</t>
        </is>
      </c>
      <c r="C142" s="38" t="inlineStr">
        <is>
          <t>20. Phase-2+ Scheme Adapters</t>
        </is>
      </c>
      <c r="D142" s="39" t="inlineStr">
        <is>
          <t>QPay adapter (Mongolia)</t>
        </is>
      </c>
      <c r="E142" s="39" t="inlineStr">
        <is>
          <t>QPay scheme adapter. Expand WBS when partner contract lands.</t>
        </is>
      </c>
      <c r="F142" s="38" t="inlineStr">
        <is>
          <t>4</t>
        </is>
      </c>
      <c r="G142" s="38" t="inlineStr">
        <is>
          <t>scheme-adapter-qpay</t>
        </is>
      </c>
      <c r="H142" s="38" t="inlineStr">
        <is>
          <t>Audit 2026-06-10 / WBS v3 re-baseline</t>
        </is>
      </c>
      <c r="I142" s="38" t="n">
        <v>35</v>
      </c>
      <c r="J142" s="38" t="inlineStr">
        <is>
          <t>9.1,16.2</t>
        </is>
      </c>
      <c r="K142" s="39" t="inlineStr">
        <is>
          <t>QPay adapter certified</t>
        </is>
      </c>
      <c r="L142" s="38" t="inlineStr">
        <is>
          <t>Backend</t>
        </is>
      </c>
      <c r="M142" s="35" t="n">
        <v>1</v>
      </c>
      <c r="N142" s="35" t="inlineStr"/>
      <c r="O142" s="35" t="inlineStr"/>
      <c r="P142" s="35" t="inlineStr"/>
      <c r="Q142" s="35" t="inlineStr"/>
      <c r="R142" s="37" t="inlineStr">
        <is>
          <t>NOT STARTED</t>
        </is>
      </c>
      <c r="S142" s="35" t="inlineStr">
        <is>
          <t>R8</t>
        </is>
      </c>
    </row>
    <row r="143">
      <c r="A143" s="38" t="inlineStr">
        <is>
          <t>20.3</t>
        </is>
      </c>
      <c r="B143" s="38" t="inlineStr">
        <is>
          <t>20</t>
        </is>
      </c>
      <c r="C143" s="38" t="inlineStr">
        <is>
          <t>20. Phase-2+ Scheme Adapters</t>
        </is>
      </c>
      <c r="D143" s="39" t="inlineStr">
        <is>
          <t>QRIS adapter (Indonesia)</t>
        </is>
      </c>
      <c r="E143" s="39" t="inlineStr">
        <is>
          <t>QRIS scheme adapter. Expand WBS when partner contract lands.</t>
        </is>
      </c>
      <c r="F143" s="38" t="inlineStr">
        <is>
          <t>4</t>
        </is>
      </c>
      <c r="G143" s="38" t="inlineStr">
        <is>
          <t>scheme-adapter-qris</t>
        </is>
      </c>
      <c r="H143" s="38" t="inlineStr">
        <is>
          <t>Audit 2026-06-10 / WBS v3 re-baseline</t>
        </is>
      </c>
      <c r="I143" s="38" t="n">
        <v>40</v>
      </c>
      <c r="J143" s="38" t="inlineStr">
        <is>
          <t>9.1,16.2</t>
        </is>
      </c>
      <c r="K143" s="39" t="inlineStr">
        <is>
          <t>QRIS adapter certified</t>
        </is>
      </c>
      <c r="L143" s="38" t="inlineStr">
        <is>
          <t>Backend</t>
        </is>
      </c>
      <c r="M143" s="35" t="n">
        <v>1</v>
      </c>
      <c r="N143" s="35" t="inlineStr"/>
      <c r="O143" s="35" t="inlineStr"/>
      <c r="P143" s="35" t="inlineStr"/>
      <c r="Q143" s="35" t="inlineStr"/>
      <c r="R143" s="37" t="inlineStr">
        <is>
          <t>NOT STARTED</t>
        </is>
      </c>
      <c r="S143" s="35" t="inlineStr">
        <is>
          <t>R8</t>
        </is>
      </c>
    </row>
    <row r="144">
      <c r="A144" s="38" t="inlineStr">
        <is>
          <t>20.4</t>
        </is>
      </c>
      <c r="B144" s="38" t="inlineStr">
        <is>
          <t>20</t>
        </is>
      </c>
      <c r="C144" s="38" t="inlineStr">
        <is>
          <t>20. Phase-2+ Scheme Adapters</t>
        </is>
      </c>
      <c r="D144" s="39" t="inlineStr">
        <is>
          <t>SBP adapter (Russia)</t>
        </is>
      </c>
      <c r="E144" s="39" t="inlineStr">
        <is>
          <t>SBP scheme adapter (sanctions/compliance review first). Expand WBS when cleared.</t>
        </is>
      </c>
      <c r="F144" s="38" t="inlineStr">
        <is>
          <t>4</t>
        </is>
      </c>
      <c r="G144" s="38" t="inlineStr">
        <is>
          <t>scheme-adapter-sbp</t>
        </is>
      </c>
      <c r="H144" s="38" t="inlineStr">
        <is>
          <t>Audit 2026-06-10 / WBS v3 re-baseline</t>
        </is>
      </c>
      <c r="I144" s="38" t="n">
        <v>35</v>
      </c>
      <c r="J144" s="38" t="inlineStr">
        <is>
          <t>9.1,16.2,13.8</t>
        </is>
      </c>
      <c r="K144" s="39" t="inlineStr">
        <is>
          <t>SBP adapter certified</t>
        </is>
      </c>
      <c r="L144" s="38" t="inlineStr">
        <is>
          <t>Backend</t>
        </is>
      </c>
      <c r="M144" s="35" t="n">
        <v>1</v>
      </c>
      <c r="N144" s="35" t="inlineStr"/>
      <c r="O144" s="35" t="inlineStr"/>
      <c r="P144" s="35" t="inlineStr"/>
      <c r="Q144" s="35" t="inlineStr"/>
      <c r="R144" s="37" t="inlineStr">
        <is>
          <t>NOT STARTED</t>
        </is>
      </c>
      <c r="S144" s="35" t="inlineStr">
        <is>
          <t>R8</t>
        </is>
      </c>
    </row>
    <row r="145">
      <c r="A145" s="38" t="inlineStr">
        <is>
          <t>20.5</t>
        </is>
      </c>
      <c r="B145" s="38" t="inlineStr">
        <is>
          <t>20</t>
        </is>
      </c>
      <c r="C145" s="38" t="inlineStr">
        <is>
          <t>20. Phase-2+ Scheme Adapters</t>
        </is>
      </c>
      <c r="D145" s="39" t="inlineStr">
        <is>
          <t>PromptPay adapter (Thailand)</t>
        </is>
      </c>
      <c r="E145" s="39" t="inlineStr">
        <is>
          <t>PromptPay scheme adapter. Expand WBS when partner contract lands.</t>
        </is>
      </c>
      <c r="F145" s="38" t="inlineStr">
        <is>
          <t>4</t>
        </is>
      </c>
      <c r="G145" s="38" t="inlineStr">
        <is>
          <t>scheme-adapter-promptpay</t>
        </is>
      </c>
      <c r="H145" s="38" t="inlineStr">
        <is>
          <t>Audit 2026-06-10 / WBS v3 re-baseline</t>
        </is>
      </c>
      <c r="I145" s="38" t="n">
        <v>35</v>
      </c>
      <c r="J145" s="38" t="inlineStr">
        <is>
          <t>9.1,16.2</t>
        </is>
      </c>
      <c r="K145" s="39" t="inlineStr">
        <is>
          <t>PromptPay adapter certified</t>
        </is>
      </c>
      <c r="L145" s="38" t="inlineStr">
        <is>
          <t>Backend</t>
        </is>
      </c>
      <c r="M145" s="35" t="n">
        <v>1</v>
      </c>
      <c r="N145" s="35" t="inlineStr"/>
      <c r="O145" s="35" t="inlineStr"/>
      <c r="P145" s="35" t="inlineStr"/>
      <c r="Q145" s="35" t="inlineStr"/>
      <c r="R145" s="37" t="inlineStr">
        <is>
          <t>NOT STARTED</t>
        </is>
      </c>
      <c r="S145" s="35" t="inlineStr">
        <is>
          <t>R8</t>
        </is>
      </c>
    </row>
    <row r="146">
      <c r="A146" s="6" t="inlineStr">
        <is>
          <t>21.0</t>
        </is>
      </c>
      <c r="B146" s="7" t="n">
        <v>21</v>
      </c>
      <c r="C146" s="8" t="inlineStr">
        <is>
          <t>21. Partner Setup re-baseline</t>
        </is>
      </c>
      <c r="D146" s="8" t="inlineStr">
        <is>
          <t>WS 21 — Partner Setup re-baseline (8 vertical slices)</t>
        </is>
      </c>
      <c r="E146" s="8" t="inlineStr">
        <is>
          <t>Re-baselines Partner Setup against DAT-03 §4.3 + PRD-07 §5.3: the 4-field demo (/partners/new with partnerId/type/settlementCurrency/settlementRoundingMode) is replaced by an 8-step wizard delivered as 8 vertical slices (21.1–21.8). Architecture locked by ADR-006..014. Sole source of truth: docs/PARTNER_SETUP_PLAN.md.</t>
        </is>
      </c>
      <c r="F146" s="7" t="n">
        <v>2</v>
      </c>
      <c r="G146" s="8" t="inlineStr">
        <is>
          <t>Cross-cutting (config-registry + ops-partner-bff + admin-ui + auth-identity + prefunding + notification-webhook + kyb-adapter)</t>
        </is>
      </c>
      <c r="H146" s="8" t="inlineStr">
        <is>
          <t>PARTNER_SETUP_PLAN.md; DAT-03 §4.3; PRD-07 §5.3; ADR-006..014</t>
        </is>
      </c>
      <c r="I146" s="9" t="n">
        <v>60</v>
      </c>
      <c r="J146" s="8" t="inlineStr">
        <is>
          <t>10.3 (superseded), 8.x, 13.x</t>
        </is>
      </c>
      <c r="K146" s="8" t="inlineStr">
        <is>
          <t>8-step partner onboarding wizard, end-to-end FSM, full audit + 4-eyes + KYB + bitemporal aggregate</t>
        </is>
      </c>
      <c r="L146" s="8" t="inlineStr">
        <is>
          <t>FS</t>
        </is>
      </c>
      <c r="M146" s="35" t="n">
        <v>179</v>
      </c>
      <c r="N146" s="35" t="n">
        <v>0</v>
      </c>
      <c r="O146" s="35" t="n">
        <v>0</v>
      </c>
      <c r="P146" s="35" t="n">
        <v>179</v>
      </c>
      <c r="Q146" s="35" t="inlineStr">
        <is>
          <t>0%</t>
        </is>
      </c>
      <c r="R146" s="36" t="inlineStr">
        <is>
          <t>NOT STARTED (re-baselined 2026-06-11)</t>
        </is>
      </c>
      <c r="S146" s="35" t="inlineStr">
        <is>
          <t>R0..R3</t>
        </is>
      </c>
    </row>
    <row r="147">
      <c r="A147" s="6" t="inlineStr">
        <is>
          <t>21.1</t>
        </is>
      </c>
      <c r="B147" s="7" t="n">
        <v>21</v>
      </c>
      <c r="C147" s="8" t="inlineStr">
        <is>
          <t>21. Partner Setup re-baseline</t>
        </is>
      </c>
      <c r="D147" s="8" t="inlineStr">
        <is>
          <t>Slice 1 — Identity + Foundation</t>
        </is>
      </c>
      <c r="E147" s="8" t="inlineStr">
        <is>
          <t>Wizard scaffold + step 1 (Identity). Foundation primitives every later slice depends on: resolve String↔Long Partner ID schism (adopt partner_id BIGINT surrogate + partner_code VARCHAR(20) unique business key per ADR-013 Expand/Backfill/Contract); collapse 5 Partner DTO shapes into canonical PartnerView (read) + PartnerCommand (write) in lib-api-contracts. Bitemporal partner table (ADR-010 SCD-Type-6, valid_from/to + recorded_at/superseded_at + current-flag). change_request table + Spring State Machine (ADR-008 DRAFT→PROPOSED→APPROVED→APPLIED, REJECTED terminal). audit_log infra (ADR-007 dedicated audit Postgres DB, INSERT-only role, hash chain, Kafka topic gmepay.audit.partner, lib-audit). Keycloak service (ADR-011 docker-compose Rocky 9, Postgres-backed); api-gateway becomes OAuth2 resource server; ops-partner-bff password=demo retired. Identity fields on partner: partner_code UNIQUE, legal_name_local, legal_name_romanized, tax_id + type discriminator (KR-BRN/KH-VAT/VN-MST/SG-UEN/generic), country_of_incorporation ISO-3166-α2, legal_form enum (CORP/LLC/MTO/EMI/BANK/OTHER), structured registered_address + operating_address, lei ISO-17442. Draft endpoints POST/PATCH/GET /v1/admin/partners/draft. RestConfigRegistryClient + admin-ui client.js updated. UI: wizard scaffold (8 tabs/stepper, server-side draft persistence per ADR-012), step-1 form with Yup regional validators, draft list with Resume button, Keycloak OIDC login replaces demo auth.</t>
        </is>
      </c>
      <c r="F147" s="7" t="n">
        <v>1</v>
      </c>
      <c r="G147" s="8" t="inlineStr">
        <is>
          <t>Cross-cutting / Foundation</t>
        </is>
      </c>
      <c r="H147" s="8" t="inlineStr">
        <is>
          <t>PARTNER_SETUP_PLAN.md §Slice 1; ADR-007/008/010/011/012/013</t>
        </is>
      </c>
      <c r="I147" s="9" t="n">
        <v>10</v>
      </c>
      <c r="J147" s="8" t="inlineStr">
        <is>
          <t>10.1, 8.2, 13.1, 13.2</t>
        </is>
      </c>
      <c r="K147" s="8" t="inlineStr">
        <is>
          <t>Bitemporal partner aggregate + change_request FSM + audit_log + Keycloak; wizard step 1 live</t>
        </is>
      </c>
      <c r="L147" s="8" t="inlineStr">
        <is>
          <t>FS</t>
        </is>
      </c>
      <c r="M147" s="35" t="n">
        <v>22</v>
      </c>
      <c r="N147" s="35" t="n">
        <v>0</v>
      </c>
      <c r="O147" s="35" t="n">
        <v>0</v>
      </c>
      <c r="P147" s="35" t="n">
        <v>22</v>
      </c>
      <c r="Q147" s="35" t="inlineStr">
        <is>
          <t>0%</t>
        </is>
      </c>
      <c r="R147" s="36" t="inlineStr">
        <is>
          <t>NOT STARTED</t>
        </is>
      </c>
      <c r="S147" s="35" t="inlineStr">
        <is>
          <t>R0</t>
        </is>
      </c>
    </row>
    <row r="148">
      <c r="A148" s="6" t="inlineStr">
        <is>
          <t>21.2</t>
        </is>
      </c>
      <c r="B148" s="7" t="n">
        <v>21</v>
      </c>
      <c r="C148" s="8" t="inlineStr">
        <is>
          <t>21. Partner Setup re-baseline</t>
        </is>
      </c>
      <c r="D148" s="8" t="inlineStr">
        <is>
          <t>Slice 2 — Contacts</t>
        </is>
      </c>
      <c r="E148" s="8" t="inlineStr">
        <is>
          <t>Wizard step 2 + 4-eyes machinery surfaced in UI. Backend: partner_contact child table (bitemporal) — id BIGSERIAL, partner_id FK, role enum (OPS_24X7/FINANCE/COMPLIANCE_MLRO/TECH/LEGAL/INCIDENT), name, email, phone_e164, is_authorized_signatory BOOL, notes. Reuse change_request from Slice 1. BFF: PATCH /v1/admin/partners/draft/{id}/step-2 (bulk replace), POST /v1/admin/partners/{id}/contacts (propose change), POST /v1/admin/partners/change-requests/{id}/approve. UI: multi-row contact editor with role dropdown + E.164 phone validation; generic Approval queue page (checker sees PROPOSED CRs, Approve/Reject with reason); read-only paginated audit log viewer on partner detail page.</t>
        </is>
      </c>
      <c r="F148" s="7" t="n">
        <v>2</v>
      </c>
      <c r="G148" s="8" t="inlineStr">
        <is>
          <t>Admin + BFF + config-registry</t>
        </is>
      </c>
      <c r="H148" s="8" t="inlineStr">
        <is>
          <t>PARTNER_SETUP_PLAN.md §Slice 2; ADR-008</t>
        </is>
      </c>
      <c r="I148" s="9" t="n">
        <v>8</v>
      </c>
      <c r="J148" s="8" t="inlineStr">
        <is>
          <t>21.1</t>
        </is>
      </c>
      <c r="K148" s="8" t="inlineStr">
        <is>
          <t>partner_contact entity + approval queue UI + audit log viewer</t>
        </is>
      </c>
      <c r="L148" s="8" t="inlineStr">
        <is>
          <t>FS</t>
        </is>
      </c>
      <c r="M148" s="35" t="n">
        <v>15</v>
      </c>
      <c r="N148" s="35" t="n">
        <v>0</v>
      </c>
      <c r="O148" s="35" t="n">
        <v>0</v>
      </c>
      <c r="P148" s="35" t="n">
        <v>15</v>
      </c>
      <c r="Q148" s="35" t="inlineStr">
        <is>
          <t>0%</t>
        </is>
      </c>
      <c r="R148" s="36" t="inlineStr">
        <is>
          <t>NOT STARTED</t>
        </is>
      </c>
      <c r="S148" s="35" t="inlineStr">
        <is>
          <t>R1</t>
        </is>
      </c>
    </row>
    <row r="149">
      <c r="A149" s="6" t="inlineStr">
        <is>
          <t>21.3</t>
        </is>
      </c>
      <c r="B149" s="7" t="n">
        <v>21</v>
      </c>
      <c r="C149" s="8" t="inlineStr">
        <is>
          <t>21. Partner Setup re-baseline</t>
        </is>
      </c>
      <c r="D149" s="8" t="inlineStr">
        <is>
          <t>Slice 3 — KYB</t>
        </is>
      </c>
      <c r="E149" s="8" t="inlineStr">
        <is>
          <t>Wizard step 3 + document vault + KYB screening adapter. Backend: MinIO bucket gmepay-partner-vault with object-lock compliance mode (ADR-006); lib-vault wraps MinIO SDK with virus-scan hook + Vault-key encryption. partner_document (bitemporal): id, partner_id FK, doc_type enum (LICENSE/CERT_INCORPORATION/AOA/BOARD_RESOLUTION/UBO_DECLARATION/FINANCIALS/CBDDQ/OTHER), vault_uri, version, expiry_date, verified_by, verified_at. partner_kyb (bitemporal): risk_rating (LOW/MEDIUM/HIGH), risk_rationale, next_review_date, license_type/number/authority/expiry, ubo_set_jsonb (array of {name, ownership_pct, is_pep, country}), wolfsberg_cbddq_doc_id FK. KybProvider port in lib-kyb (ADR-009). StubKybAdapter for internal dev; OctaKybAdapter lands when sandbox creds arrive. Kafka topic gmepay.kyb.screening, outbox-published same txn. New service services/kyb-adapter (Spring Boot module). UI: license details, UBO entry table (name + ownership% + PEP toggle + country), drag-drop document upload, Wolfsberg CBDDQ upload, Run screening button, document viewer modal with version history, screening result panel (latest result, decision history, rescreen).</t>
        </is>
      </c>
      <c r="F149" s="7" t="n">
        <v>2</v>
      </c>
      <c r="G149" s="8" t="inlineStr">
        <is>
          <t>KYB + Vault + Admin</t>
        </is>
      </c>
      <c r="H149" s="8" t="inlineStr">
        <is>
          <t>PARTNER_SETUP_PLAN.md §Slice 3; ADR-006 (Vault), ADR-009 (KYB port)</t>
        </is>
      </c>
      <c r="I149" s="9" t="n">
        <v>10</v>
      </c>
      <c r="J149" s="8" t="inlineStr">
        <is>
          <t>21.1</t>
        </is>
      </c>
      <c r="K149" s="8" t="inlineStr">
        <is>
          <t>MinIO vault + lib-vault + kyb-adapter service + partner_document/partner_kyb tables + step-3 UI</t>
        </is>
      </c>
      <c r="L149" s="8" t="inlineStr">
        <is>
          <t>FS</t>
        </is>
      </c>
      <c r="M149" s="35" t="n">
        <v>18</v>
      </c>
      <c r="N149" s="35" t="n">
        <v>0</v>
      </c>
      <c r="O149" s="35" t="n">
        <v>0</v>
      </c>
      <c r="P149" s="35" t="n">
        <v>18</v>
      </c>
      <c r="Q149" s="35" t="inlineStr">
        <is>
          <t>0%</t>
        </is>
      </c>
      <c r="R149" s="36" t="inlineStr">
        <is>
          <t>NOT STARTED</t>
        </is>
      </c>
      <c r="S149" s="35" t="inlineStr">
        <is>
          <t>R1</t>
        </is>
      </c>
    </row>
    <row r="150">
      <c r="A150" s="6" t="inlineStr">
        <is>
          <t>21.4</t>
        </is>
      </c>
      <c r="B150" s="7" t="n">
        <v>21</v>
      </c>
      <c r="C150" s="8" t="inlineStr">
        <is>
          <t>21. Partner Setup re-baseline</t>
        </is>
      </c>
      <c r="D150" s="8" t="inlineStr">
        <is>
          <t>Slice 4 — Banking &amp; Settlement</t>
        </is>
      </c>
      <c r="E150" s="8" t="inlineStr">
        <is>
          <t>Wizard step 4 — settlement bank accounts, settlement cycle, methods, calendars. Backend: partner_bank_account (bitemporal) — id, partner_id FK, currency ISO-4217, bank_name, bic_swift, iban_or_account_number, account_holder_name, bank_country ISO-3166, intermediary_bic (opt), verification_status (UNVERIFIED/KFTC_VERIFIED/BANK_LETTER/MICRO_DEPOSIT), verification_evidence_doc_id FK, verification_date, is_primary BOOL, swift_charge_bearer (OUR/BEN/SHA), purpose (PAYOUT/FLOAT_TOPUP/REFUND). partner_settlement_config (bitemporal): partner_id PK, cycle_t_plus_n INT, cutoff_time, cutoff_timezone, settlement_method (SWIFT_MT103/KR_FIRM_BANKING/BAKONG/NAPAS_247/PROMPT_PAY/FAST_SG/OTHER). business_day_calendar seeded with Korean + ASEAN holidays go-live + 2 years (Chuseok, Tet, Songkran, Lunar New Year, etc.). KFTC 계좌실명조회 verification stub — port abstraction AccountVerificationProvider with KftcVerificationAdapter + StubVerificationAdapter. UI: bank account multi-row editor with per-row verification button, settlement config panel (cycle/cutoff/method/timezone picker), settlement preview ("with these settings, your Mon 11:30 KST txn pays out Wed 11:30 KST").</t>
        </is>
      </c>
      <c r="F150" s="7" t="n">
        <v>2</v>
      </c>
      <c r="G150" s="8" t="inlineStr">
        <is>
          <t>Banking + Settlement</t>
        </is>
      </c>
      <c r="H150" s="8" t="inlineStr">
        <is>
          <t>PARTNER_SETUP_PLAN.md §Slice 4; ADR-008; CAL-01 holiday calendars</t>
        </is>
      </c>
      <c r="I150" s="9" t="n">
        <v>9</v>
      </c>
      <c r="J150" s="8" t="inlineStr">
        <is>
          <t>21.2</t>
        </is>
      </c>
      <c r="K150" s="8" t="inlineStr">
        <is>
          <t>partner_bank_account + partner_settlement_config + business_day_calendar + KFTC verification port + step-4 UI</t>
        </is>
      </c>
      <c r="L150" s="8" t="inlineStr">
        <is>
          <t>FS</t>
        </is>
      </c>
      <c r="M150" s="35" t="n">
        <v>20</v>
      </c>
      <c r="N150" s="35" t="n">
        <v>0</v>
      </c>
      <c r="O150" s="35" t="n">
        <v>0</v>
      </c>
      <c r="P150" s="35" t="n">
        <v>20</v>
      </c>
      <c r="Q150" s="35" t="inlineStr">
        <is>
          <t>0%</t>
        </is>
      </c>
      <c r="R150" s="36" t="inlineStr">
        <is>
          <t>NOT STARTED</t>
        </is>
      </c>
      <c r="S150" s="35" t="inlineStr">
        <is>
          <t>R2</t>
        </is>
      </c>
    </row>
    <row r="151">
      <c r="A151" s="6" t="inlineStr">
        <is>
          <t>21.5</t>
        </is>
      </c>
      <c r="B151" s="7" t="n">
        <v>21</v>
      </c>
      <c r="C151" s="8" t="inlineStr">
        <is>
          <t>21. Partner Setup re-baseline</t>
        </is>
      </c>
      <c r="D151" s="8" t="inlineStr">
        <is>
          <t>Slice 5 — Prefunding (OVERSEAS only)</t>
        </is>
      </c>
      <c r="E151" s="8" t="inlineStr">
        <is>
          <t>Wizard step 5 + wire-up of existing PartnerBalanceEntity into partner-create txn. Backend: when partner is activated with funding_model=PREFUNDED or HYBRID, prefunding service creates balance row in same change_request. partner_prefunding_config (bitemporal): funding_model (PREFUNDED/POSTPAID/HYBRID), opening_balance_usd, low_balance_threshold_usd (default 10000), alert_tier_70/85/95_pct, credit_limit_usd (NULL=no limit), auto_suspend_on_breach BOOL, float_top_up_bank_account_id FK (purpose=FLOAT_TOPUP), top_up_reference_pattern VARCHAR (e.g. GMP-{partner_code}-{yyyyMMdd}), collateral_amount_usd (opt). Tier-alert generation: Kafka topic gmepay.prefunding.alert produced when balance crosses threshold; notification-webhook consumes. Auto-suspend: balance&lt;0 (or breach + auto_suspend_on_breach=true) publishes change_request(aggregate=partner, payload=status:SUSPENDED) with proposed_by=system — requires operator approval to lift. UI step 5 (OVERSEAS only): funding model radio, opening balance + ccy, threshold inputs with live preview, credit limit, top-up bank picker (filtered to FLOAT_TOPUP purpose), reference pattern preview. Prefunding dashboard tile on partner detail page: current balance, threshold gauge with tier coloring, recent top-ups, recent alerts.</t>
        </is>
      </c>
      <c r="F151" s="7" t="n">
        <v>2</v>
      </c>
      <c r="G151" s="8" t="inlineStr">
        <is>
          <t>Prefunding + Admin</t>
        </is>
      </c>
      <c r="H151" s="8" t="inlineStr">
        <is>
          <t>PARTNER_SETUP_PLAN.md §Slice 5</t>
        </is>
      </c>
      <c r="I151" s="9" t="n">
        <v>8</v>
      </c>
      <c r="J151" s="8" t="inlineStr">
        <is>
          <t>21.4</t>
        </is>
      </c>
      <c r="K151" s="8" t="inlineStr">
        <is>
          <t>partner_prefunding_config + PartnerBalanceEntity wired into create txn + tier alerts + auto-suspend + step-5 UI</t>
        </is>
      </c>
      <c r="L151" s="8" t="inlineStr">
        <is>
          <t>FS</t>
        </is>
      </c>
      <c r="M151" s="35" t="n">
        <v>17</v>
      </c>
      <c r="N151" s="35" t="n">
        <v>0</v>
      </c>
      <c r="O151" s="35" t="n">
        <v>0</v>
      </c>
      <c r="P151" s="35" t="n">
        <v>17</v>
      </c>
      <c r="Q151" s="35" t="inlineStr">
        <is>
          <t>0%</t>
        </is>
      </c>
      <c r="R151" s="36" t="inlineStr">
        <is>
          <t>NOT STARTED</t>
        </is>
      </c>
      <c r="S151" s="35" t="inlineStr">
        <is>
          <t>R2</t>
        </is>
      </c>
    </row>
    <row r="152">
      <c r="A152" s="6" t="inlineStr">
        <is>
          <t>21.6</t>
        </is>
      </c>
      <c r="B152" s="7" t="n">
        <v>21</v>
      </c>
      <c r="C152" s="8" t="inlineStr">
        <is>
          <t>21. Partner Setup re-baseline</t>
        </is>
      </c>
      <c r="D152" s="8" t="inlineStr">
        <is>
          <t>Slice 6 — Commercial Terms</t>
        </is>
      </c>
      <c r="E152" s="8" t="inlineStr">
        <is>
          <t>Wizard step 6 — financial-correctness slice (ccy split + rules + fees + FX + limits + contract). Backend: split settlement_currency into collection_ccy + settle_a_ccy (DAT-03 §4.3 + PRD-07 §5.3.2) via Expand/Backfill/Contract (ADR-013) across 3 releases. Rule persistence: today only POST /v1/rules/validate exists; add POST /v1/rules (create) + GET /v1/rules (list per partner) + PUT /v1/rules/{id} (update via change_request). Schema includes existing lib-domain Rule.validate "m_a + m_b ≥ 2%" invariant. partner_fee_schedule (bitemporal) per (partner × scheme × direction): fixed_fee, bps_fee, tier table (volume bands → bps). partner_fx_config (bitemporal): margin_bps, reference_rate_source (SEOUL_FX_BROKER/PARTNER_PROVIDED/MID_MARKET), quote_hold_seconds (default 300, range 60–1800). partner_limits (bitemporal): per_txn_min/max_usd, daily/monthly/annual_cap_usd. 소액해외송금업 hard-enforced server-side: per_txn ≤ 5000 USD, annual ≤ 50000 USD for that license type. partner_contract (bitemporal): effective_from/to, auto_renewal BOOL, notice_period_days, refund_chargeback_policy (PARTNER_BEARS/MERCHANT_BEARS/SHARED), termination_reason. transaction-mgmt + rate-fx updated to read new collection_ccy / settle_a_ccy split. UI step 6: split ccy picker, rule editor (multi-row per scheme/direction with margin sliders), fee schedule, FX margin slider + reference source + quote hold, limits with 소액해외송금업 visual cap markers, contract dates + auto-renewal toggle.</t>
        </is>
      </c>
      <c r="F152" s="7" t="n">
        <v>2</v>
      </c>
      <c r="G152" s="8" t="inlineStr">
        <is>
          <t>Pricing + FX + Limits + Contract</t>
        </is>
      </c>
      <c r="H152" s="8" t="inlineStr">
        <is>
          <t>PARTNER_SETUP_PLAN.md §Slice 6; ADR-013 Expand/Backfill/Contract; DAT-03 §4.3; PRD-07 §5.3.2</t>
        </is>
      </c>
      <c r="I152" s="9" t="n">
        <v>12</v>
      </c>
      <c r="J152" s="8" t="inlineStr">
        <is>
          <t>21.4</t>
        </is>
      </c>
      <c r="K152" s="8" t="inlineStr">
        <is>
          <t>collection_ccy/settle_a_ccy split + rule persistence + fee schedule + FX config + limits + contract + step-6 UI</t>
        </is>
      </c>
      <c r="L152" s="8" t="inlineStr">
        <is>
          <t>FS</t>
        </is>
      </c>
      <c r="M152" s="35" t="n">
        <v>25</v>
      </c>
      <c r="N152" s="35" t="n">
        <v>0</v>
      </c>
      <c r="O152" s="35" t="n">
        <v>0</v>
      </c>
      <c r="P152" s="35" t="n">
        <v>25</v>
      </c>
      <c r="Q152" s="35" t="inlineStr">
        <is>
          <t>0%</t>
        </is>
      </c>
      <c r="R152" s="36" t="inlineStr">
        <is>
          <t>NOT STARTED</t>
        </is>
      </c>
      <c r="S152" s="35" t="inlineStr">
        <is>
          <t>R2</t>
        </is>
      </c>
    </row>
    <row r="153">
      <c r="A153" s="6" t="inlineStr">
        <is>
          <t>21.7</t>
        </is>
      </c>
      <c r="B153" s="7" t="n">
        <v>21</v>
      </c>
      <c r="C153" s="8" t="inlineStr">
        <is>
          <t>21. Partner Setup re-baseline</t>
        </is>
      </c>
      <c r="D153" s="8" t="inlineStr">
        <is>
          <t>Slice 7 — Schemes &amp; Corridors</t>
        </is>
      </c>
      <c r="E153" s="8" t="inlineStr">
        <is>
          <t>Wizard step 7 — scheme enablement + corridor matrix + per-partner scheme credentials. Backend: partner_scheme (bitemporal): partner_id, scheme_id, direction (INBOUND/OUTBOUND/BOTH), role (ACQUIRER/ISSUER/BOTH), zeropay_merchant_id, zeropay_sub_merchant_id, kftc_institution_code, partner_type_char (D/I — Zp0011 derivation). partner_corridor (bitemporal): partner_id, src_country, src_ccy, dst_country, dst_ccy, go_live_date, is_active. SchemeRouter rewrite from hardcoded KR→ZEROPAY to data-driven (reads partner_scheme join). Per-partner scheme credentials stored in Vault (ADR-006 pattern), referenced by partner_scheme.vault_secret_id. Approval method per (partner × scheme × payment_mode CPM/MPM): approval_method enum (CONFIRMATION/SILENT) — closes OI-01 / 1.2-T03. Operating hours per scheme (settlement cutoffs): seeded for ZeroPay (24×7 with KFTC 16:30 KST cutoff), Bakong (24×7 with NBC 09:00–15:00 ICT), etc. UI step 7: scheme enablement matrix (rows=schemes, columns=direction × role, checkboxes), per-row drill-down for ZeroPay specifics (merchantId, sub-merchantId, institution code, D/I, approval method per CPM/MPM), corridor matrix builder, operating hours preview.</t>
        </is>
      </c>
      <c r="F153" s="7" t="n">
        <v>2</v>
      </c>
      <c r="G153" s="8" t="inlineStr">
        <is>
          <t>Schemes + Corridors + Routing</t>
        </is>
      </c>
      <c r="H153" s="8" t="inlineStr">
        <is>
          <t>PARTNER_SETUP_PLAN.md §Slice 7; ADR-006; OI-01</t>
        </is>
      </c>
      <c r="I153" s="9" t="n">
        <v>10</v>
      </c>
      <c r="J153" s="8" t="inlineStr">
        <is>
          <t>21.6</t>
        </is>
      </c>
      <c r="K153" s="8" t="inlineStr">
        <is>
          <t>partner_scheme + partner_corridor + data-driven SchemeRouter + Vault-stored creds + step-7 UI</t>
        </is>
      </c>
      <c r="L153" s="8" t="inlineStr">
        <is>
          <t>FS</t>
        </is>
      </c>
      <c r="M153" s="35" t="n">
        <v>22</v>
      </c>
      <c r="N153" s="35" t="n">
        <v>0</v>
      </c>
      <c r="O153" s="35" t="n">
        <v>0</v>
      </c>
      <c r="P153" s="35" t="n">
        <v>22</v>
      </c>
      <c r="Q153" s="35" t="inlineStr">
        <is>
          <t>0%</t>
        </is>
      </c>
      <c r="R153" s="36" t="inlineStr">
        <is>
          <t>NOT STARTED</t>
        </is>
      </c>
      <c r="S153" s="35" t="inlineStr">
        <is>
          <t>R2</t>
        </is>
      </c>
    </row>
    <row r="154">
      <c r="A154" s="6" t="inlineStr">
        <is>
          <t>21.8</t>
        </is>
      </c>
      <c r="B154" s="7" t="n">
        <v>21</v>
      </c>
      <c r="C154" s="8" t="inlineStr">
        <is>
          <t>21. Partner Setup re-baseline</t>
        </is>
      </c>
      <c r="D154" s="8" t="inlineStr">
        <is>
          <t>Slice 8 — Credentials + Lifecycle + Reporting</t>
        </is>
      </c>
      <c r="E154" s="8" t="inlineStr">
        <is>
          <t>Wizard step 8 — credential issuance + full FSM + regulatory reporting attributes. Backend: wire existing auth-identity/ApiKeyEntity + PrincipalEntity + notification-webhook/WebhookEndpointEntity into partner-create txn (the wire-up debt). Generate API key + HMAC secret on activation, return plaintext ONCE in response, store hash. IP allowlist: partner_ip_allowlist (up to 10 CIDRs); api-gateway pre-signature 403 enforcement. mTLS cert exchange: partner_mtls_cert (bitemporal) — cert_pem, fingerprint_sha256, expiry_date, status; mTLS verification at Nginx layer (ADR-002). Sandbox vs production credential pairs: partner_credential_environment enum (SANDBOX/PRODUCTION); sandbox prefix pk_test_/sk_test_. Credential rotation: scheduled job proposes rotation change_request at 11 months (12-month rotation per SEC-09); revoke endpoint with audit_log entry. Full FSM: Draft → KYB-Pending → KYB-Approved → Contract-Signed → Sandbox → UAT → Live → Suspended → Terminated. Transitions are change_request-gated; go-live + suspend require 4-eyes. Activation pre-condition gate: returns 422 + unmet[] until legal_name set, KYB approved, ≥1 verified bank account per settle_ccy, contracts signed, prefunding row created if OVERSEAS, ≥4 role contacts, ≥1 scheme enabled, sanctions clear or operator-overridden. Post-activation immutability: partner_code, country_of_incorporation, partner_type, collection_ccy, settle_a_ccy locked after first Live transition; mutations → 400 IMMUTABLE_AFTER_ACTIVATION. Suspension reason codes: LIMIT_BREACH/SANCTIONS_HIT/CREDENTIAL_COMPROMISE/KYB_LAPSED/CONTRACT_EXPIRED/OPERATOR_INITIATED. BOK 외환거래보고 attributes: bok_txn_code, bok_fx_reporting_category (INDIVIDUAL_AGGREGATE/INSTITUTIONAL), bok_remitter_type. Hometax e-tax-invoice: hometax_issuer_cert_id FK to vault doc, vat_treatment (ZERO_RATED_EXPORT/STANDARD/EXEMPT). KoFIU STR/CTR: kofiu_entity_id, ctr_threshold_krw (default 10,000,000), per-corridor STR enable flag. PIPA cross-border PII transfer notice: pipa_jurisdiction_allowlist[], legal_basis_code enum. Travel Rule (TRP/Sygna/IVMS101): travel_rule_protocol enum + endpoint config; ≥KRW 1M transfers must include IVMS101 originator + beneficiary block. UI step 8: Review tab (full summary with anchor jumps), Activate button (calls pre-condition gate, shows unmet[]), one-time credential modal (API key + HMAC + webhook signing secret, copy-to-clipboard, dismiss confirmation), confirmation operator stored secrets. Partner detail page (post-activation): status header with FSM menu, credential rotation panel, audit log full view, BOK/Hometax/KoFIU reporting settings tab, status-action menu (Suspend/Reactivate/Terminate with reason).</t>
        </is>
      </c>
      <c r="F154" s="7" t="n">
        <v>3</v>
      </c>
      <c r="G154" s="8" t="inlineStr">
        <is>
          <t>Credentials + FSM + Regulatory Reporting</t>
        </is>
      </c>
      <c r="H154" s="8" t="inlineStr">
        <is>
          <t>PARTNER_SETUP_PLAN.md §Slice 8; ADR-002 (mTLS); ADR-008 (4-eyes); SEC-09 rotation</t>
        </is>
      </c>
      <c r="I154" s="9" t="n">
        <v>13</v>
      </c>
      <c r="J154" s="8" t="inlineStr">
        <is>
          <t>21.5, 21.7</t>
        </is>
      </c>
      <c r="K154" s="8" t="inlineStr">
        <is>
          <t>Credential issuance + full lifecycle FSM + activation gate + BOK/Hometax/KoFIU/PIPA/Travel-Rule reporting attrs + step-8 UI</t>
        </is>
      </c>
      <c r="L154" s="8" t="inlineStr">
        <is>
          <t>FS</t>
        </is>
      </c>
      <c r="M154" s="35" t="n">
        <v>40</v>
      </c>
      <c r="N154" s="35" t="n">
        <v>0</v>
      </c>
      <c r="O154" s="35" t="n">
        <v>0</v>
      </c>
      <c r="P154" s="35" t="n">
        <v>40</v>
      </c>
      <c r="Q154" s="35" t="inlineStr">
        <is>
          <t>0%</t>
        </is>
      </c>
      <c r="R154" s="36" t="inlineStr">
        <is>
          <t>NOT STARTED</t>
        </is>
      </c>
      <c r="S154" s="35" t="inlineStr">
        <is>
          <t>R3</t>
        </is>
      </c>
    </row>
  </sheetData>
  <autoFilter ref="A1:L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46" customWidth="1" min="4" max="4"/>
    <col width="8" customWidth="1" min="5" max="5"/>
    <col width="7" customWidth="1" min="6" max="6"/>
    <col width="8" customWidth="1" min="7" max="7"/>
    <col width="10" customWidth="1" min="8" max="8"/>
    <col width="8" customWidth="1" min="9" max="9"/>
    <col width="52" customWidth="1" min="10" max="10"/>
    <col width="28" customWidth="1" min="11" max="11"/>
  </cols>
  <sheetData>
    <row r="1">
      <c r="A1" s="13" t="inlineStr">
        <is>
          <t>GMEPay+ — Completion Plan v3 (re-baselined after the 2026-06-10 code audit)</t>
        </is>
      </c>
    </row>
    <row r="2">
      <c r="A2" s="41" t="inlineStr">
        <is>
          <t>Every WBS code is mapped to one executable completion phase R0–R8. Sequence is dependency-true: R0 unlocks Testcontainers/compose; R1 makes persistence real; R2 proves the money path E2E; R3–R6 are productionization; R7 is external-party bound; R8 is launch.</t>
        </is>
      </c>
    </row>
    <row r="4">
      <c r="A4" s="1" t="inlineStr">
        <is>
          <t>Phase</t>
        </is>
      </c>
      <c r="B4" s="1" t="inlineStr">
        <is>
          <t>Name</t>
        </is>
      </c>
      <c r="C4" s="1" t="inlineStr">
        <is>
          <t>Owner</t>
        </is>
      </c>
      <c r="D4" s="1" t="inlineStr">
        <is>
          <t>WBS codes</t>
        </is>
      </c>
      <c r="E4" s="1" t="inlineStr">
        <is>
          <t>Tickets</t>
        </is>
      </c>
      <c r="F4" s="1" t="inlineStr">
        <is>
          <t>Done</t>
        </is>
      </c>
      <c r="G4" s="1" t="inlineStr">
        <is>
          <t>Partial</t>
        </is>
      </c>
      <c r="H4" s="1" t="inlineStr">
        <is>
          <t>Not started</t>
        </is>
      </c>
      <c r="I4" s="1" t="inlineStr">
        <is>
          <t>% D+P</t>
        </is>
      </c>
      <c r="J4" s="1" t="inlineStr">
        <is>
          <t>Exit gate</t>
        </is>
      </c>
      <c r="K4" s="1" t="inlineStr">
        <is>
          <t>External blockers</t>
        </is>
      </c>
    </row>
    <row r="5">
      <c r="A5" s="42" t="inlineStr">
        <is>
          <t>R0</t>
        </is>
      </c>
      <c r="B5" s="43" t="inlineStr">
        <is>
          <t>Decisions &amp; build environment</t>
        </is>
      </c>
      <c r="C5" s="43" t="inlineStr">
        <is>
          <t>AI agents + GME + user</t>
        </is>
      </c>
      <c r="D5" s="43" t="inlineStr">
        <is>
          <t>1.1 1.2 1.3 1.4 2.1 2.2 2.3 17.1 18.7</t>
        </is>
      </c>
      <c r="E5" s="44" t="n">
        <v>190</v>
      </c>
      <c r="F5" s="44" t="n">
        <v>6</v>
      </c>
      <c r="G5" s="44" t="n">
        <v>40</v>
      </c>
      <c r="H5" s="44" t="n">
        <v>144</v>
      </c>
      <c r="I5" s="44" t="inlineStr">
        <is>
          <t>24%</t>
        </is>
      </c>
      <c r="J5" s="43" t="inlineStr">
        <is>
          <t>Docker-capable CI green; stack ADRs signed (Kafka/RabbitMQ, Gateway/Nginx, Mongo)</t>
        </is>
      </c>
      <c r="K5" s="43" t="inlineStr">
        <is>
          <t>—</t>
        </is>
      </c>
    </row>
    <row r="6">
      <c r="A6" s="42" t="inlineStr">
        <is>
          <t>R1</t>
        </is>
      </c>
      <c r="B6" s="43" t="inlineStr">
        <is>
          <t>Persistence &amp; real wiring (gap closure)</t>
        </is>
      </c>
      <c r="C6" s="43" t="inlineStr">
        <is>
          <t>AI agents</t>
        </is>
      </c>
      <c r="D6" s="43" t="inlineStr">
        <is>
          <t>2.4 2.5 3.1 3.2 3.3 3.4 3.5 3.6 3.7 4.1 4.6 4.7 6.1 6.2 6.3 6.4 17.2 17.3 17.4 17.6 17.7 17.8</t>
        </is>
      </c>
      <c r="E6" s="44" t="n">
        <v>424</v>
      </c>
      <c r="F6" s="44" t="n">
        <v>3</v>
      </c>
      <c r="G6" s="44" t="n">
        <v>81</v>
      </c>
      <c r="H6" s="44" t="n">
        <v>340</v>
      </c>
      <c r="I6" s="44" t="inlineStr">
        <is>
          <t>20%</t>
        </is>
      </c>
      <c r="J6" s="43" t="inlineStr">
        <is>
          <t>All 12 services on real PostgreSQL; Redis/Kafka/Mongo/MinIO wired; registries persistent</t>
        </is>
      </c>
      <c r="K6" s="43" t="inlineStr">
        <is>
          <t>—</t>
        </is>
      </c>
    </row>
    <row r="7">
      <c r="A7" s="42" t="inlineStr">
        <is>
          <t>R2</t>
        </is>
      </c>
      <c r="B7" s="43" t="inlineStr">
        <is>
          <t>Money-path E2E on compose stack</t>
        </is>
      </c>
      <c r="C7" s="43" t="inlineStr">
        <is>
          <t>AI agents</t>
        </is>
      </c>
      <c r="D7" s="43" t="inlineStr">
        <is>
          <t>4.2 4.3 4.4 4.5 4.8 4.9 5.1 5.2 5.3 5.4 5.5 5.6 5.7 5.8 6.5 7.1 7.2 7.3 7.4 7.6 8.3 8.4 8.5 8.6 8.7 9.1 9.4 9.9 15.3 15.4 17.5 18.1 18.3 18.6</t>
        </is>
      </c>
      <c r="E7" s="44" t="n">
        <v>715</v>
      </c>
      <c r="F7" s="44" t="n">
        <v>20</v>
      </c>
      <c r="G7" s="44" t="n">
        <v>131</v>
      </c>
      <c r="H7" s="44" t="n">
        <v>564</v>
      </c>
      <c r="I7" s="44" t="inlineStr">
        <is>
          <t>21%</t>
        </is>
      </c>
      <c r="J7" s="43" t="inlineStr">
        <is>
          <t>Scripted E2E quote→commit→settlement+rounding residual→webhook green in CI</t>
        </is>
      </c>
      <c r="K7" s="43" t="inlineStr">
        <is>
          <t>—</t>
        </is>
      </c>
    </row>
    <row r="8">
      <c r="A8" s="42" t="inlineStr">
        <is>
          <t>R3</t>
        </is>
      </c>
      <c r="B8" s="43" t="inlineStr">
        <is>
          <t>Edge &amp; security</t>
        </is>
      </c>
      <c r="C8" s="43" t="inlineStr">
        <is>
          <t>AI agents + GME Security</t>
        </is>
      </c>
      <c r="D8" s="43" t="inlineStr">
        <is>
          <t>8.1 8.2 8.8 13.1 13.2 13.3 13.4 13.5 13.6 13.9 18.2 18.4</t>
        </is>
      </c>
      <c r="E8" s="44" t="n">
        <v>272</v>
      </c>
      <c r="F8" s="44" t="n">
        <v>8</v>
      </c>
      <c r="G8" s="44" t="n">
        <v>24</v>
      </c>
      <c r="H8" s="44" t="n">
        <v>240</v>
      </c>
      <c r="I8" s="44" t="inlineStr">
        <is>
          <t>12%</t>
        </is>
      </c>
      <c r="J8" s="43" t="inlineStr">
        <is>
          <t>Nginx WAF up; real JWT auth + RBAC; Vault for secrets; HMAC/idempotency at edge</t>
        </is>
      </c>
      <c r="K8" s="43" t="inlineStr">
        <is>
          <t>—</t>
        </is>
      </c>
    </row>
    <row r="9">
      <c r="A9" s="42" t="inlineStr">
        <is>
          <t>R4</t>
        </is>
      </c>
      <c r="B9" s="43" t="inlineStr">
        <is>
          <t>UI completion against live BFF</t>
        </is>
      </c>
      <c r="C9" s="43" t="inlineStr">
        <is>
          <t>AI agents</t>
        </is>
      </c>
      <c r="D9" s="43" t="inlineStr">
        <is>
          <t>2.6 10.1 10.2 10.3 10.4 10.5 10.6 10.7 10.8 10.9 10.10 10.11 11.1 11.2 11.3 11.4 11.5 11.6 11.7 12.1 12.2 12.3 12.4 12.5 18.5</t>
        </is>
      </c>
      <c r="E9" s="44" t="n">
        <v>717</v>
      </c>
      <c r="F9" s="44" t="n">
        <v>0</v>
      </c>
      <c r="G9" s="44" t="n">
        <v>80</v>
      </c>
      <c r="H9" s="44" t="n">
        <v>637</v>
      </c>
      <c r="I9" s="44" t="inlineStr">
        <is>
          <t>11%</t>
        </is>
      </c>
      <c r="J9" s="43" t="inlineStr">
        <is>
          <t>All admin + portal WBS screens functional vs live BFF; contract-drift CI gate</t>
        </is>
      </c>
      <c r="K9" s="43" t="inlineStr">
        <is>
          <t>—</t>
        </is>
      </c>
    </row>
    <row r="10">
      <c r="A10" s="42" t="inlineStr">
        <is>
          <t>R5</t>
        </is>
      </c>
      <c r="B10" s="43" t="inlineStr">
        <is>
          <t>Infrastructure &amp; observability</t>
        </is>
      </c>
      <c r="C10" s="43" t="inlineStr">
        <is>
          <t>GME DevOps (agents author IaC)</t>
        </is>
      </c>
      <c r="D10" s="43" t="inlineStr">
        <is>
          <t>14.1 14.2 14.3 14.4 14.5 14.6 14.7 14.8 16.1</t>
        </is>
      </c>
      <c r="E10" s="44" t="n">
        <v>268</v>
      </c>
      <c r="F10" s="44" t="n">
        <v>0</v>
      </c>
      <c r="G10" s="44" t="n">
        <v>0</v>
      </c>
      <c r="H10" s="44" t="n">
        <v>268</v>
      </c>
      <c r="I10" s="44" t="inlineStr">
        <is>
          <t>0%</t>
        </is>
      </c>
      <c r="J10" s="43" t="inlineStr">
        <is>
          <t>Staging on K8s via CI/CD; OTel+Prometheus/Grafana+ELK+Jaeger; backup/DR drill</t>
        </is>
      </c>
      <c r="K10" s="43" t="inlineStr">
        <is>
          <t>—</t>
        </is>
      </c>
    </row>
    <row r="11">
      <c r="A11" s="42" t="inlineStr">
        <is>
          <t>R6</t>
        </is>
      </c>
      <c r="B11" s="43" t="inlineStr">
        <is>
          <t>Hardening, performance, pen test</t>
        </is>
      </c>
      <c r="C11" s="43" t="inlineStr">
        <is>
          <t>Agents author; GME validates</t>
        </is>
      </c>
      <c r="D11" s="43" t="inlineStr">
        <is>
          <t>13.10 15.1 15.2 15.5 15.7 15.8 15.10</t>
        </is>
      </c>
      <c r="E11" s="44" t="n">
        <v>256</v>
      </c>
      <c r="F11" s="44" t="n">
        <v>1</v>
      </c>
      <c r="G11" s="44" t="n">
        <v>14</v>
      </c>
      <c r="H11" s="44" t="n">
        <v>241</v>
      </c>
      <c r="I11" s="44" t="inlineStr">
        <is>
          <t>6%</t>
        </is>
      </c>
      <c r="J11" s="43" t="inlineStr">
        <is>
          <t>NFR-10 load targets met; pen test passed; regression suite green</t>
        </is>
      </c>
      <c r="K11" s="43" t="inlineStr">
        <is>
          <t>—</t>
        </is>
      </c>
    </row>
    <row r="12">
      <c r="A12" s="45" t="inlineStr">
        <is>
          <t>R7</t>
        </is>
      </c>
      <c r="B12" s="46" t="inlineStr">
        <is>
          <t>Compliance &amp; certification</t>
        </is>
      </c>
      <c r="C12" s="46" t="inlineStr">
        <is>
          <t>GME + external parties</t>
        </is>
      </c>
      <c r="D12" s="46" t="inlineStr">
        <is>
          <t>7.5 8.9 8.10 9.2 9.3 9.5 9.6 9.7 9.8 9.10 13.7 13.8 15.6</t>
        </is>
      </c>
      <c r="E12" s="47" t="n">
        <v>392</v>
      </c>
      <c r="F12" s="47" t="n">
        <v>3</v>
      </c>
      <c r="G12" s="47" t="n">
        <v>41</v>
      </c>
      <c r="H12" s="47" t="n">
        <v>348</v>
      </c>
      <c r="I12" s="47" t="inlineStr">
        <is>
          <t>11%</t>
        </is>
      </c>
      <c r="J12" s="46" t="inlineStr">
        <is>
          <t>KFTC/ZeroPay certified; BOK FX1014/1015 verified; Hometax integrated; AML live</t>
        </is>
      </c>
      <c r="K12" s="46" t="inlineStr">
        <is>
          <t>KFTC test env, BOK OI-03, Hometax OI-02</t>
        </is>
      </c>
    </row>
    <row r="13">
      <c r="A13" s="42" t="inlineStr">
        <is>
          <t>R8</t>
        </is>
      </c>
      <c r="B13" s="43" t="inlineStr">
        <is>
          <t>UAT, go-live &amp; hypercare</t>
        </is>
      </c>
      <c r="C13" s="43" t="inlineStr">
        <is>
          <t>GME business + partners</t>
        </is>
      </c>
      <c r="D13" s="43" t="inlineStr">
        <is>
          <t>1.5 1.6 15.9 16.2 16.3 16.4 16.5 16.6 20.1 20.2 20.3 20.4 20.5</t>
        </is>
      </c>
      <c r="E13" s="44" t="n">
        <v>253</v>
      </c>
      <c r="F13" s="44" t="n">
        <v>0</v>
      </c>
      <c r="G13" s="44" t="n">
        <v>1</v>
      </c>
      <c r="H13" s="44" t="n">
        <v>252</v>
      </c>
      <c r="I13" s="44" t="inlineStr">
        <is>
          <t>0%</t>
        </is>
      </c>
      <c r="J13" s="43" t="inlineStr">
        <is>
          <t>UAT signed; production cutover rehearsed; 14-day hypercare; Phase-2 adapters start</t>
        </is>
      </c>
      <c r="K13" s="43" t="inlineStr">
        <is>
          <t>—</t>
        </is>
      </c>
    </row>
    <row r="14">
      <c r="A14" s="48" t="inlineStr"/>
      <c r="B14" s="48" t="inlineStr">
        <is>
          <t>TOTAL</t>
        </is>
      </c>
      <c r="C14" s="48" t="inlineStr"/>
      <c r="D14" s="48" t="inlineStr"/>
      <c r="E14" s="49" t="n">
        <v>3487</v>
      </c>
      <c r="F14" s="49" t="n">
        <v>41</v>
      </c>
      <c r="G14" s="49" t="n">
        <v>412</v>
      </c>
      <c r="H14" s="49" t="n">
        <v>3034</v>
      </c>
      <c r="I14" s="49" t="inlineStr">
        <is>
          <t>13%</t>
        </is>
      </c>
      <c r="J14" s="49" t="inlineStr"/>
      <c r="K14" s="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GMEPay+ — WBS Summary &amp; Effort Rollup</t>
        </is>
      </c>
    </row>
    <row r="2">
      <c r="A2" s="14" t="inlineStr">
        <is>
          <t>Indicative planning estimates (person-days). See Legend for assumptions.</t>
        </is>
      </c>
    </row>
    <row r="4">
      <c r="A4" s="15" t="inlineStr">
        <is>
          <t>Effort by Workstream</t>
        </is>
      </c>
    </row>
    <row r="5">
      <c r="A5" s="16" t="inlineStr">
        <is>
          <t>WS #</t>
        </is>
      </c>
      <c r="B5" s="16" t="inlineStr">
        <is>
          <t>Workstream</t>
        </is>
      </c>
      <c r="C5" s="16" t="inlineStr">
        <is>
          <t>Tasks</t>
        </is>
      </c>
      <c r="D5" s="16" t="inlineStr">
        <is>
          <t>Effort (PD)</t>
        </is>
      </c>
      <c r="E5" s="16" t="inlineStr">
        <is>
          <t>% of Total</t>
        </is>
      </c>
    </row>
    <row r="6">
      <c r="A6" s="17" t="n">
        <v>1</v>
      </c>
      <c r="B6" s="18" t="inlineStr">
        <is>
          <t>1. Project Management &amp; Mobilization</t>
        </is>
      </c>
      <c r="C6" s="17">
        <f>COUNTIF(WBS!$B$2:$B$125,A6)</f>
        <v/>
      </c>
      <c r="D6" s="19">
        <f>SUMIF(WBS!$B$2:$B$125,A6,WBS!$I$2:$I$125)</f>
        <v/>
      </c>
      <c r="E6" s="20">
        <f>D6/$D$22</f>
        <v/>
      </c>
    </row>
    <row r="7">
      <c r="A7" s="17" t="n">
        <v>2</v>
      </c>
      <c r="B7" s="18" t="inlineStr">
        <is>
          <t>2. Architecture &amp; Technical Foundation</t>
        </is>
      </c>
      <c r="C7" s="17">
        <f>COUNTIF(WBS!$B$2:$B$125,A7)</f>
        <v/>
      </c>
      <c r="D7" s="19">
        <f>SUMIF(WBS!$B$2:$B$125,A7,WBS!$I$2:$I$125)</f>
        <v/>
      </c>
      <c r="E7" s="20">
        <f>D7/$D$22</f>
        <v/>
      </c>
    </row>
    <row r="8">
      <c r="A8" s="17" t="n">
        <v>3</v>
      </c>
      <c r="B8" s="18" t="inlineStr">
        <is>
          <t>3. Data Layer &amp; Persistence</t>
        </is>
      </c>
      <c r="C8" s="17">
        <f>COUNTIF(WBS!$B$2:$B$125,A8)</f>
        <v/>
      </c>
      <c r="D8" s="19">
        <f>SUMIF(WBS!$B$2:$B$125,A8,WBS!$I$2:$I$125)</f>
        <v/>
      </c>
      <c r="E8" s="20">
        <f>D8/$D$22</f>
        <v/>
      </c>
    </row>
    <row r="9">
      <c r="A9" s="17" t="n">
        <v>4</v>
      </c>
      <c r="B9" s="18" t="inlineStr">
        <is>
          <t>4. Rate Engine &amp; FX</t>
        </is>
      </c>
      <c r="C9" s="17">
        <f>COUNTIF(WBS!$B$2:$B$125,A9)</f>
        <v/>
      </c>
      <c r="D9" s="19">
        <f>SUMIF(WBS!$B$2:$B$125,A9,WBS!$I$2:$I$125)</f>
        <v/>
      </c>
      <c r="E9" s="20">
        <f>D9/$D$22</f>
        <v/>
      </c>
    </row>
    <row r="10">
      <c r="A10" s="17" t="n">
        <v>5</v>
      </c>
      <c r="B10" s="18" t="inlineStr">
        <is>
          <t>5. Transaction Processing (MPM/CPM)</t>
        </is>
      </c>
      <c r="C10" s="17">
        <f>COUNTIF(WBS!$B$2:$B$125,A10)</f>
        <v/>
      </c>
      <c r="D10" s="19">
        <f>SUMIF(WBS!$B$2:$B$125,A10,WBS!$I$2:$I$125)</f>
        <v/>
      </c>
      <c r="E10" s="20">
        <f>D10/$D$22</f>
        <v/>
      </c>
    </row>
    <row r="11">
      <c r="A11" s="17" t="n">
        <v>6</v>
      </c>
      <c r="B11" s="18" t="inlineStr">
        <is>
          <t>6. Prefunding &amp; Wallet Ledger</t>
        </is>
      </c>
      <c r="C11" s="17">
        <f>COUNTIF(WBS!$B$2:$B$125,A11)</f>
        <v/>
      </c>
      <c r="D11" s="19">
        <f>SUMIF(WBS!$B$2:$B$125,A11,WBS!$I$2:$I$125)</f>
        <v/>
      </c>
      <c r="E11" s="20">
        <f>D11/$D$22</f>
        <v/>
      </c>
    </row>
    <row r="12">
      <c r="A12" s="17" t="n">
        <v>7</v>
      </c>
      <c r="B12" s="18" t="inlineStr">
        <is>
          <t>7. Settlement, Reconciliation &amp; Revenue</t>
        </is>
      </c>
      <c r="C12" s="17">
        <f>COUNTIF(WBS!$B$2:$B$125,A12)</f>
        <v/>
      </c>
      <c r="D12" s="19">
        <f>SUMIF(WBS!$B$2:$B$125,A12,WBS!$I$2:$I$125)</f>
        <v/>
      </c>
      <c r="E12" s="20">
        <f>D12/$D$22</f>
        <v/>
      </c>
    </row>
    <row r="13">
      <c r="A13" s="17" t="n">
        <v>8</v>
      </c>
      <c r="B13" s="18" t="inlineStr">
        <is>
          <t>8. Partner (Northbound) API</t>
        </is>
      </c>
      <c r="C13" s="17">
        <f>COUNTIF(WBS!$B$2:$B$125,A13)</f>
        <v/>
      </c>
      <c r="D13" s="19">
        <f>SUMIF(WBS!$B$2:$B$125,A13,WBS!$I$2:$I$125)</f>
        <v/>
      </c>
      <c r="E13" s="20">
        <f>D13/$D$22</f>
        <v/>
      </c>
    </row>
    <row r="14">
      <c r="A14" s="17" t="n">
        <v>9</v>
      </c>
      <c r="B14" s="18" t="inlineStr">
        <is>
          <t>9. QR Scheme Integration (ZeroPay)</t>
        </is>
      </c>
      <c r="C14" s="17">
        <f>COUNTIF(WBS!$B$2:$B$125,A14)</f>
        <v/>
      </c>
      <c r="D14" s="19">
        <f>SUMIF(WBS!$B$2:$B$125,A14,WBS!$I$2:$I$125)</f>
        <v/>
      </c>
      <c r="E14" s="20">
        <f>D14/$D$22</f>
        <v/>
      </c>
    </row>
    <row r="15">
      <c r="A15" s="17" t="n">
        <v>10</v>
      </c>
      <c r="B15" s="18" t="inlineStr">
        <is>
          <t>10. Admin System</t>
        </is>
      </c>
      <c r="C15" s="17">
        <f>COUNTIF(WBS!$B$2:$B$125,A15)</f>
        <v/>
      </c>
      <c r="D15" s="19">
        <f>SUMIF(WBS!$B$2:$B$125,A15,WBS!$I$2:$I$125)</f>
        <v/>
      </c>
      <c r="E15" s="20">
        <f>D15/$D$22</f>
        <v/>
      </c>
    </row>
    <row r="16">
      <c r="A16" s="17" t="n">
        <v>11</v>
      </c>
      <c r="B16" s="18" t="inlineStr">
        <is>
          <t>11. Partner Portal</t>
        </is>
      </c>
      <c r="C16" s="17">
        <f>COUNTIF(WBS!$B$2:$B$125,A16)</f>
        <v/>
      </c>
      <c r="D16" s="19">
        <f>SUMIF(WBS!$B$2:$B$125,A16,WBS!$I$2:$I$125)</f>
        <v/>
      </c>
      <c r="E16" s="20">
        <f>D16/$D$22</f>
        <v/>
      </c>
    </row>
    <row r="17">
      <c r="A17" s="17" t="n">
        <v>12</v>
      </c>
      <c r="B17" s="18" t="inlineStr">
        <is>
          <t>12. UX/UI &amp; Frontend Foundation</t>
        </is>
      </c>
      <c r="C17" s="17">
        <f>COUNTIF(WBS!$B$2:$B$125,A17)</f>
        <v/>
      </c>
      <c r="D17" s="19">
        <f>SUMIF(WBS!$B$2:$B$125,A17,WBS!$I$2:$I$125)</f>
        <v/>
      </c>
      <c r="E17" s="20">
        <f>D17/$D$22</f>
        <v/>
      </c>
    </row>
    <row r="18">
      <c r="A18" s="17" t="n">
        <v>13</v>
      </c>
      <c r="B18" s="18" t="inlineStr">
        <is>
          <t>13. Security &amp; Compliance</t>
        </is>
      </c>
      <c r="C18" s="17">
        <f>COUNTIF(WBS!$B$2:$B$125,A18)</f>
        <v/>
      </c>
      <c r="D18" s="19">
        <f>SUMIF(WBS!$B$2:$B$125,A18,WBS!$I$2:$I$125)</f>
        <v/>
      </c>
      <c r="E18" s="20">
        <f>D18/$D$22</f>
        <v/>
      </c>
    </row>
    <row r="19">
      <c r="A19" s="17" t="n">
        <v>14</v>
      </c>
      <c r="B19" s="18" t="inlineStr">
        <is>
          <t>14. DevOps, Infrastructure &amp; Observability</t>
        </is>
      </c>
      <c r="C19" s="17">
        <f>COUNTIF(WBS!$B$2:$B$125,A19)</f>
        <v/>
      </c>
      <c r="D19" s="19">
        <f>SUMIF(WBS!$B$2:$B$125,A19,WBS!$I$2:$I$125)</f>
        <v/>
      </c>
      <c r="E19" s="20">
        <f>D19/$D$22</f>
        <v/>
      </c>
    </row>
    <row r="20">
      <c r="A20" s="17" t="n">
        <v>15</v>
      </c>
      <c r="B20" s="18" t="inlineStr">
        <is>
          <t>15. Quality Assurance &amp; Testing</t>
        </is>
      </c>
      <c r="C20" s="17">
        <f>COUNTIF(WBS!$B$2:$B$125,A20)</f>
        <v/>
      </c>
      <c r="D20" s="19">
        <f>SUMIF(WBS!$B$2:$B$125,A20,WBS!$I$2:$I$125)</f>
        <v/>
      </c>
      <c r="E20" s="20">
        <f>D20/$D$22</f>
        <v/>
      </c>
    </row>
    <row r="21">
      <c r="A21" s="17" t="n">
        <v>16</v>
      </c>
      <c r="B21" s="18" t="inlineStr">
        <is>
          <t>16. Deployment, Go-Live &amp; Hypercare</t>
        </is>
      </c>
      <c r="C21" s="17">
        <f>COUNTIF(WBS!$B$2:$B$125,A21)</f>
        <v/>
      </c>
      <c r="D21" s="19">
        <f>SUMIF(WBS!$B$2:$B$125,A21,WBS!$I$2:$I$125)</f>
        <v/>
      </c>
      <c r="E21" s="20">
        <f>D21/$D$22</f>
        <v/>
      </c>
    </row>
    <row r="22">
      <c r="A22" s="21" t="n"/>
      <c r="B22" s="21" t="inlineStr">
        <is>
          <t>TOTAL</t>
        </is>
      </c>
      <c r="C22" s="22">
        <f>SUM(C6:C21)</f>
        <v/>
      </c>
      <c r="D22" s="23">
        <f>SUM(D6:D21)</f>
        <v/>
      </c>
      <c r="E22" s="24">
        <f>D22/D22</f>
        <v/>
      </c>
    </row>
    <row r="25">
      <c r="A25" s="15" t="inlineStr">
        <is>
          <t>Effort by Phase</t>
        </is>
      </c>
    </row>
    <row r="26">
      <c r="A26" s="16" t="inlineStr">
        <is>
          <t>Phase</t>
        </is>
      </c>
      <c r="B26" s="16" t="inlineStr">
        <is>
          <t>Description</t>
        </is>
      </c>
      <c r="C26" s="16" t="inlineStr">
        <is>
          <t>Tasks</t>
        </is>
      </c>
      <c r="D26" s="16" t="inlineStr">
        <is>
          <t>Effort (PD)</t>
        </is>
      </c>
      <c r="E26" s="16" t="inlineStr">
        <is>
          <t>% of Total</t>
        </is>
      </c>
    </row>
    <row r="27">
      <c r="A27" s="25" t="n">
        <v>1</v>
      </c>
      <c r="B27" s="26" t="inlineStr">
        <is>
          <t>P1 — Build Core (Apr 10–Jun 20)</t>
        </is>
      </c>
      <c r="C27" s="25">
        <f>COUNTIF(WBS!$F$2:$F$125,A27)</f>
        <v/>
      </c>
      <c r="D27" s="27">
        <f>SUMIF(WBS!$F$2:$F$125,A27,WBS!$I$2:$I$125)</f>
        <v/>
      </c>
      <c r="E27" s="28">
        <f>D27/$D$31</f>
        <v/>
      </c>
    </row>
    <row r="28">
      <c r="A28" s="25" t="n">
        <v>2</v>
      </c>
      <c r="B28" s="26" t="inlineStr">
        <is>
          <t>P2 — Integrate ZeroPay (May 15–Jul 31)</t>
        </is>
      </c>
      <c r="C28" s="25">
        <f>COUNTIF(WBS!$F$2:$F$125,A28)</f>
        <v/>
      </c>
      <c r="D28" s="27">
        <f>SUMIF(WBS!$F$2:$F$125,A28,WBS!$I$2:$I$125)</f>
        <v/>
      </c>
      <c r="E28" s="28">
        <f>D28/$D$31</f>
        <v/>
      </c>
    </row>
    <row r="29">
      <c r="A29" s="25" t="n">
        <v>3</v>
      </c>
      <c r="B29" s="26" t="inlineStr">
        <is>
          <t>P3 — Launch Domestic (Aug 1–Oct 10)</t>
        </is>
      </c>
      <c r="C29" s="25">
        <f>COUNTIF(WBS!$F$2:$F$125,A29)</f>
        <v/>
      </c>
      <c r="D29" s="27">
        <f>SUMIF(WBS!$F$2:$F$125,A29,WBS!$I$2:$I$125)</f>
        <v/>
      </c>
      <c r="E29" s="28">
        <f>D29/$D$31</f>
        <v/>
      </c>
    </row>
    <row r="30">
      <c r="A30" s="25" t="n">
        <v>4</v>
      </c>
      <c r="B30" s="26" t="inlineStr">
        <is>
          <t>P4 — Launch Overseas (Oct 1–Dec 10)</t>
        </is>
      </c>
      <c r="C30" s="25">
        <f>COUNTIF(WBS!$F$2:$F$125,A30)</f>
        <v/>
      </c>
      <c r="D30" s="27">
        <f>SUMIF(WBS!$F$2:$F$125,A30,WBS!$I$2:$I$125)</f>
        <v/>
      </c>
      <c r="E30" s="28">
        <f>D30/$D$31</f>
        <v/>
      </c>
    </row>
    <row r="31">
      <c r="A31" s="22" t="n"/>
      <c r="B31" s="22" t="inlineStr">
        <is>
          <t>TOTAL</t>
        </is>
      </c>
      <c r="C31" s="22">
        <f>SUM(C27:C30)</f>
        <v/>
      </c>
      <c r="D31" s="23">
        <f>SUM(D27:D30)</f>
        <v/>
      </c>
      <c r="E31" s="24">
        <f>D31/D31</f>
        <v/>
      </c>
    </row>
    <row r="34">
      <c r="A34" s="15" t="inlineStr">
        <is>
          <t>Indicative Conversions</t>
        </is>
      </c>
    </row>
    <row r="35">
      <c r="A35" s="29" t="inlineStr">
        <is>
          <t>Total effort (person-days)</t>
        </is>
      </c>
      <c r="B35" s="30">
        <f>D22</f>
        <v/>
      </c>
    </row>
    <row r="36">
      <c r="A36" s="29" t="inlineStr">
        <is>
          <t>Person-weeks (5 PD/week)</t>
        </is>
      </c>
      <c r="B36" s="30">
        <f>D22/5</f>
        <v/>
      </c>
    </row>
    <row r="37">
      <c r="A37" s="29" t="inlineStr">
        <is>
          <t>Person-months (21 PD/month)</t>
        </is>
      </c>
      <c r="B37" s="30">
        <f>D22/21</f>
        <v/>
      </c>
    </row>
    <row r="38">
      <c r="A38" s="29" t="inlineStr">
        <is>
          <t>Calendar months @ 6 FTE</t>
        </is>
      </c>
      <c r="B38" s="30">
        <f>D22/21/6</f>
        <v/>
      </c>
    </row>
    <row r="39">
      <c r="A39" s="29" t="inlineStr">
        <is>
          <t>Calendar months @ 8 FTE</t>
        </is>
      </c>
      <c r="B39" s="30">
        <f>D22/21/8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16" customWidth="1" min="4" max="4"/>
    <col width="26" customWidth="1" min="5" max="5"/>
    <col width="46" customWidth="1" min="6" max="6"/>
  </cols>
  <sheetData>
    <row r="1">
      <c r="A1" s="13" t="inlineStr">
        <is>
          <t>GMEPay+ — Phases &amp; Key Milestones</t>
        </is>
      </c>
    </row>
    <row r="2">
      <c r="A2" s="14" t="inlineStr">
        <is>
          <t>Go-live: October 10, 2026 (GME Remit domestic). Critical path: 한결원/KFTC test environment available by mid-May 2026.</t>
        </is>
      </c>
    </row>
    <row r="4">
      <c r="A4" s="16" t="inlineStr">
        <is>
          <t>Phase</t>
        </is>
      </c>
      <c r="B4" s="16" t="inlineStr">
        <is>
          <t>Name</t>
        </is>
      </c>
      <c r="C4" s="16" t="inlineStr">
        <is>
          <t>Period (2026)</t>
        </is>
      </c>
      <c r="D4" s="16" t="inlineStr">
        <is>
          <t>Duration</t>
        </is>
      </c>
      <c r="E4" s="16" t="inlineStr">
        <is>
          <t>Gate / Entry Criteria</t>
        </is>
      </c>
      <c r="F4" s="16" t="inlineStr">
        <is>
          <t>Primary Deliverables</t>
        </is>
      </c>
    </row>
    <row r="5">
      <c r="A5" s="7" t="inlineStr">
        <is>
          <t>P1</t>
        </is>
      </c>
      <c r="B5" s="8" t="inlineStr">
        <is>
          <t>Build Core</t>
        </is>
      </c>
      <c r="C5" s="7" t="inlineStr">
        <is>
          <t>Apr 10 – Jun 20</t>
        </is>
      </c>
      <c r="D5" s="7" t="inlineStr">
        <is>
          <t>~10 weeks</t>
        </is>
      </c>
      <c r="E5" s="8" t="inlineStr">
        <is>
          <t>Design sign-off</t>
        </is>
      </c>
      <c r="F5" s="8" t="inlineStr">
        <is>
          <t>Hub Core, Rate Engine, Data layer, Partner API, Admin foundation</t>
        </is>
      </c>
    </row>
    <row r="6">
      <c r="A6" s="7" t="inlineStr">
        <is>
          <t>P2</t>
        </is>
      </c>
      <c r="B6" s="8" t="inlineStr">
        <is>
          <t>Integrate ZeroPay</t>
        </is>
      </c>
      <c r="C6" s="7" t="inlineStr">
        <is>
          <t>May 15 – Jul 31</t>
        </is>
      </c>
      <c r="D6" s="7" t="inlineStr">
        <is>
          <t>~11 weeks (overlap)</t>
        </is>
      </c>
      <c r="E6" s="8" t="inlineStr">
        <is>
          <t>KFTC test env ready</t>
        </is>
      </c>
      <c r="F6" s="8" t="inlineStr">
        <is>
          <t>Scheme adapter, ZP00xx batch flows, Settlement &amp; reconciliation</t>
        </is>
      </c>
    </row>
    <row r="7">
      <c r="A7" s="7" t="inlineStr">
        <is>
          <t>P3</t>
        </is>
      </c>
      <c r="B7" s="8" t="inlineStr">
        <is>
          <t>Launch Domestic</t>
        </is>
      </c>
      <c r="C7" s="7" t="inlineStr">
        <is>
          <t>Aug 1 – Oct 10</t>
        </is>
      </c>
      <c r="D7" s="7" t="inlineStr">
        <is>
          <t>~10 weeks</t>
        </is>
      </c>
      <c r="E7" s="8" t="inlineStr">
        <is>
          <t>UAT sign-off</t>
        </is>
      </c>
      <c r="F7" s="8" t="inlineStr">
        <is>
          <t>GME Remit live, Partner Portal, Perf &amp; security testing, Go-live</t>
        </is>
      </c>
    </row>
    <row r="8">
      <c r="A8" s="7" t="inlineStr">
        <is>
          <t>P4</t>
        </is>
      </c>
      <c r="B8" s="8" t="inlineStr">
        <is>
          <t>Launch Overseas</t>
        </is>
      </c>
      <c r="C8" s="7" t="inlineStr">
        <is>
          <t>Oct 1 – Dec 10</t>
        </is>
      </c>
      <c r="D8" s="7" t="inlineStr">
        <is>
          <t>~10 weeks</t>
        </is>
      </c>
      <c r="E8" s="8" t="inlineStr">
        <is>
          <t>P3 stable</t>
        </is>
      </c>
      <c r="F8" s="8" t="inlineStr">
        <is>
          <t>T-Bank/SendMN onboarding, prefunding live, hypercare, handover</t>
        </is>
      </c>
    </row>
    <row r="11">
      <c r="A11" s="15" t="inlineStr">
        <is>
          <t>Key Milestones</t>
        </is>
      </c>
    </row>
    <row r="12">
      <c r="A12" s="31" t="inlineStr">
        <is>
          <t>Milestone</t>
        </is>
      </c>
      <c r="B12" s="31" t="inlineStr">
        <is>
          <t>Target</t>
        </is>
      </c>
      <c r="C12" s="31" t="inlineStr">
        <is>
          <t>Depends on</t>
        </is>
      </c>
    </row>
    <row r="13">
      <c r="A13" s="8" t="inlineStr">
        <is>
          <t>Architecture &amp; design sign-off</t>
        </is>
      </c>
      <c r="B13" s="7" t="inlineStr">
        <is>
          <t>Apr 2026</t>
        </is>
      </c>
      <c r="C13" s="7" t="inlineStr">
        <is>
          <t>Requirements walkthrough</t>
        </is>
      </c>
    </row>
    <row r="14">
      <c r="A14" s="8" t="inlineStr">
        <is>
          <t>Rate engine passes all test vectors</t>
        </is>
      </c>
      <c r="B14" s="7" t="inlineStr">
        <is>
          <t>May 2026</t>
        </is>
      </c>
      <c r="C14" s="7" t="inlineStr">
        <is>
          <t>WS4, WS15.3</t>
        </is>
      </c>
    </row>
    <row r="15">
      <c r="A15" s="8" t="inlineStr">
        <is>
          <t>KFTC/한결원 test environment available</t>
        </is>
      </c>
      <c r="B15" s="7" t="inlineStr">
        <is>
          <t>Mid-May 2026</t>
        </is>
      </c>
      <c r="C15" s="7" t="inlineStr">
        <is>
          <t>External (KFTC)</t>
        </is>
      </c>
    </row>
    <row r="16">
      <c r="A16" s="8" t="inlineStr">
        <is>
          <t>Partner API sandbox live</t>
        </is>
      </c>
      <c r="B16" s="7" t="inlineStr">
        <is>
          <t>May 2026</t>
        </is>
      </c>
      <c r="C16" s="7" t="inlineStr">
        <is>
          <t>WS8</t>
        </is>
      </c>
    </row>
    <row r="17">
      <c r="A17" s="8" t="inlineStr">
        <is>
          <t>ZeroPay batch round-trip certified</t>
        </is>
      </c>
      <c r="B17" s="7" t="inlineStr">
        <is>
          <t>Jul 2026</t>
        </is>
      </c>
      <c r="C17" s="7" t="inlineStr">
        <is>
          <t>WS9.10</t>
        </is>
      </c>
    </row>
    <row r="18">
      <c r="A18" s="8" t="inlineStr">
        <is>
          <t>Settlement &amp; reconciliation verified</t>
        </is>
      </c>
      <c r="B18" s="7" t="inlineStr">
        <is>
          <t>Jul 2026</t>
        </is>
      </c>
      <c r="C18" s="7" t="inlineStr">
        <is>
          <t>WS7, WS9.6</t>
        </is>
      </c>
    </row>
    <row r="19">
      <c r="A19" s="8" t="inlineStr">
        <is>
          <t>UAT sign-off</t>
        </is>
      </c>
      <c r="B19" s="7" t="inlineStr">
        <is>
          <t>Sep 2026</t>
        </is>
      </c>
      <c r="C19" s="7" t="inlineStr">
        <is>
          <t>WS15.9</t>
        </is>
      </c>
    </row>
    <row r="20">
      <c r="A20" s="32" t="inlineStr">
        <is>
          <t>GME Remit domestic GO-LIVE</t>
        </is>
      </c>
      <c r="B20" s="7" t="inlineStr">
        <is>
          <t>Oct 10, 2026</t>
        </is>
      </c>
      <c r="C20" s="7" t="inlineStr">
        <is>
          <t>WS16.2</t>
        </is>
      </c>
    </row>
    <row r="21">
      <c r="A21" s="8" t="inlineStr">
        <is>
          <t>First overseas partner live</t>
        </is>
      </c>
      <c r="B21" s="7" t="inlineStr">
        <is>
          <t>Within 3 months of go-live</t>
        </is>
      </c>
      <c r="C21" s="7" t="inlineStr">
        <is>
          <t>WS16.3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3" t="inlineStr">
        <is>
          <t>GMEPay+ — WBS Legend, Conventions &amp; Assumptions</t>
        </is>
      </c>
    </row>
    <row r="3">
      <c r="A3" s="15" t="inlineStr">
        <is>
          <t>Column definitions</t>
        </is>
      </c>
    </row>
    <row r="4">
      <c r="A4" s="33" t="inlineStr">
        <is>
          <t>WBS Code</t>
        </is>
      </c>
      <c r="B4" s="34" t="inlineStr">
        <is>
          <t>Hierarchical identifier (workstream.task).</t>
        </is>
      </c>
    </row>
    <row r="5">
      <c r="A5" s="33" t="inlineStr">
        <is>
          <t>Phase</t>
        </is>
      </c>
      <c r="B5" s="34" t="inlineStr">
        <is>
          <t>Primary delivery phase (1–4). Some tasks span phases; primary phase shown for rollup.</t>
        </is>
      </c>
    </row>
    <row r="6">
      <c r="A6" s="33" t="inlineStr">
        <is>
          <t>Component</t>
        </is>
      </c>
      <c r="B6" s="34" t="inlineStr">
        <is>
          <t>Hub Core / Admin / Portal / API-N (northbound) / API-S (scheme) / Infra / Cross-cutting.</t>
        </is>
      </c>
    </row>
    <row r="7">
      <c r="A7" s="33" t="inlineStr">
        <is>
          <t>Source Doc(s)</t>
        </is>
      </c>
      <c r="B7" s="34" t="inlineStr">
        <is>
          <t>Specification document(s) the task derives from (codes per DOC-00).</t>
        </is>
      </c>
    </row>
    <row r="8">
      <c r="A8" s="33" t="inlineStr">
        <is>
          <t>Effort (PD)</t>
        </is>
      </c>
      <c r="B8" s="34" t="inlineStr">
        <is>
          <t>Indicative effort in person-days for estimation; refine with vendor.</t>
        </is>
      </c>
    </row>
    <row r="9">
      <c r="A9" s="33" t="inlineStr">
        <is>
          <t>Dependencies</t>
        </is>
      </c>
      <c r="B9" s="34" t="inlineStr">
        <is>
          <t>Predecessor WBS codes that should complete (or substantially progress) first.</t>
        </is>
      </c>
    </row>
    <row r="10">
      <c r="A10" s="33" t="inlineStr">
        <is>
          <t>Primary Role</t>
        </is>
      </c>
      <c r="B10" s="34" t="inlineStr">
        <is>
          <t>Lead discipline; most tasks need supporting roles too.</t>
        </is>
      </c>
    </row>
    <row r="12">
      <c r="A12" s="15" t="inlineStr">
        <is>
          <t>Role abbreviations</t>
        </is>
      </c>
    </row>
    <row r="13">
      <c r="A13" s="33" t="inlineStr">
        <is>
          <t>PM / BA</t>
        </is>
      </c>
      <c r="B13" s="34" t="inlineStr">
        <is>
          <t>Project Manager / Business Analyst</t>
        </is>
      </c>
    </row>
    <row r="14">
      <c r="A14" s="33" t="inlineStr">
        <is>
          <t>ARCH</t>
        </is>
      </c>
      <c r="B14" s="34" t="inlineStr">
        <is>
          <t>Solution/Software Architect</t>
        </is>
      </c>
    </row>
    <row r="15">
      <c r="A15" s="33" t="inlineStr">
        <is>
          <t>BE / FE / FS</t>
        </is>
      </c>
      <c r="B15" s="34" t="inlineStr">
        <is>
          <t>Backend / Frontend / Full-stack Engineer</t>
        </is>
      </c>
    </row>
    <row r="16">
      <c r="A16" s="33" t="inlineStr">
        <is>
          <t>DBA</t>
        </is>
      </c>
      <c r="B16" s="34" t="inlineStr">
        <is>
          <t>Database Engineer</t>
        </is>
      </c>
    </row>
    <row r="17">
      <c r="A17" s="33" t="inlineStr">
        <is>
          <t>UX</t>
        </is>
      </c>
      <c r="B17" s="34" t="inlineStr">
        <is>
          <t>UX/UI Designer</t>
        </is>
      </c>
    </row>
    <row r="18">
      <c r="A18" s="33" t="inlineStr">
        <is>
          <t>DevOps</t>
        </is>
      </c>
      <c r="B18" s="34" t="inlineStr">
        <is>
          <t>DevOps / SRE</t>
        </is>
      </c>
    </row>
    <row r="19">
      <c r="A19" s="33" t="inlineStr">
        <is>
          <t>QA</t>
        </is>
      </c>
      <c r="B19" s="34" t="inlineStr">
        <is>
          <t>Quality Assurance / Test Engineer</t>
        </is>
      </c>
    </row>
    <row r="20">
      <c r="A20" s="33" t="inlineStr">
        <is>
          <t>Sec</t>
        </is>
      </c>
      <c r="B20" s="34" t="inlineStr">
        <is>
          <t>Security Engineer</t>
        </is>
      </c>
    </row>
    <row r="22">
      <c r="A22" s="15" t="inlineStr">
        <is>
          <t>Source document codes</t>
        </is>
      </c>
    </row>
    <row r="23">
      <c r="A23" s="33" t="inlineStr">
        <is>
          <t>BRD-01 / SAD-02 / DAT-03</t>
        </is>
      </c>
      <c r="B23" s="34" t="inlineStr">
        <is>
          <t>Business Requirements / System Architecture / Data Model</t>
        </is>
      </c>
    </row>
    <row r="24">
      <c r="A24" s="33" t="inlineStr">
        <is>
          <t>RATE-04 / API-05 / SCH-06</t>
        </is>
      </c>
      <c r="B24" s="34" t="inlineStr">
        <is>
          <t>Rate Engine / Partner API / ZeroPay Integration</t>
        </is>
      </c>
    </row>
    <row r="25">
      <c r="A25" s="33" t="inlineStr">
        <is>
          <t>PRD-07 / PRD-08 / SEC-09</t>
        </is>
      </c>
      <c r="B25" s="34" t="inlineStr">
        <is>
          <t>Admin System / Partner Portal / Security &amp; Compliance</t>
        </is>
      </c>
    </row>
    <row r="26">
      <c r="A26" s="33" t="inlineStr">
        <is>
          <t>NFR-10 / UX-11 / QA-12</t>
        </is>
      </c>
      <c r="B26" s="34" t="inlineStr">
        <is>
          <t>NFR &amp; SLA / UX-UI / Test Plan</t>
        </is>
      </c>
    </row>
    <row r="27">
      <c r="A27" s="33" t="inlineStr">
        <is>
          <t>OPS-13 / PM-14 / REF-15</t>
        </is>
      </c>
      <c r="B27" s="34" t="inlineStr">
        <is>
          <t>DevOps &amp; Runbook / Project Plan / Glossary</t>
        </is>
      </c>
    </row>
    <row r="28">
      <c r="A28" s="33" t="inlineStr">
        <is>
          <t>DOC-00</t>
        </is>
      </c>
      <c r="B28" s="34" t="inlineStr">
        <is>
          <t>Documentation Index &amp; Handover</t>
        </is>
      </c>
    </row>
    <row r="30">
      <c r="A30" s="15" t="inlineStr">
        <is>
          <t>Estimating assumptions</t>
        </is>
      </c>
    </row>
    <row r="31">
      <c r="A31" s="33" t="inlineStr">
        <is>
          <t>Basis</t>
        </is>
      </c>
      <c r="B31" s="34" t="inlineStr">
        <is>
          <t>Effort is indicative for planning only, derived from the specification scope; not a fixed-price commitment.</t>
        </is>
      </c>
    </row>
    <row r="32">
      <c r="A32" s="33" t="inlineStr">
        <is>
          <t>Working calendar</t>
        </is>
      </c>
      <c r="B32" s="34" t="inlineStr">
        <is>
          <t>5 person-days/week; 21 person-days/month assumed.</t>
        </is>
      </c>
    </row>
    <row r="33">
      <c r="A33" s="33" t="inlineStr">
        <is>
          <t>Exclusions</t>
        </is>
      </c>
      <c r="B33" s="34" t="inlineStr">
        <is>
          <t>Partner app development, merchant onboarding, and KFTC-side build are out of scope (GME/partner/scheme responsibilities).</t>
        </is>
      </c>
    </row>
    <row r="34">
      <c r="A34" s="33" t="inlineStr">
        <is>
          <t>Open items</t>
        </is>
      </c>
      <c r="B34" s="34" t="inlineStr">
        <is>
          <t>OI-01 customer-approval UX, OI-02 tax-invoice API, OI-03 BOK reporting format may change scope when resolved (see WS1.2).</t>
        </is>
      </c>
    </row>
    <row r="35">
      <c r="A35" s="33" t="inlineStr">
        <is>
          <t>Risk buffer</t>
        </is>
      </c>
      <c r="B35" s="34" t="inlineStr">
        <is>
          <t>Add project contingency (e.g. 15–20%) on top of the WBS total; not included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2026-06-05T01:35:58Z</dcterms:created>
  <dcterms:modified xmlns:dcterms="http://purl.org/dc/terms/" xmlns:xsi="http://www.w3.org/2001/XMLSchema-instance" xsi:type="dcterms:W3CDTF">2026-06-11T07:58:52Z</dcterms:modified>
</cp:coreProperties>
</file>